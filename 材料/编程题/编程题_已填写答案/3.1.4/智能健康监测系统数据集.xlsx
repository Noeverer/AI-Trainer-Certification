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I318571/Documents/personal/考证/人工智能训练师/编程题_已填写答案/3.1.4/"/>
    </mc:Choice>
  </mc:AlternateContent>
  <xr:revisionPtr revIDLastSave="0" documentId="13_ncr:1_{CF551CCB-0B73-A74F-9148-5801475E51A7}" xr6:coauthVersionLast="47" xr6:coauthVersionMax="47" xr10:uidLastSave="{00000000-0000-0000-0000-000000000000}"/>
  <bookViews>
    <workbookView xWindow="200" yWindow="3420" windowWidth="34560" windowHeight="20200" xr2:uid="{00000000-000D-0000-FFFF-FFFF00000000}"/>
  </bookViews>
  <sheets>
    <sheet name="Sheet1" sheetId="1" r:id="rId1"/>
  </sheets>
  <definedNames>
    <definedName name="_xlnm._FilterDatabase" localSheetId="0" hidden="1">Sheet1!$A$1:$H$169</definedName>
  </definedNames>
  <calcPr calcId="191029"/>
  <pivotCaches>
    <pivotCache cacheId="3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2" i="1"/>
</calcChain>
</file>

<file path=xl/sharedStrings.xml><?xml version="1.0" encoding="utf-8"?>
<sst xmlns="http://schemas.openxmlformats.org/spreadsheetml/2006/main" count="357" uniqueCount="139">
  <si>
    <t>时间戳</t>
  </si>
  <si>
    <t>收缩压</t>
  </si>
  <si>
    <t>舒张压</t>
  </si>
  <si>
    <t>2024-09-15 06:00</t>
  </si>
  <si>
    <t>2024-09-15 07:00</t>
  </si>
  <si>
    <t>2024-09-15 07:30</t>
  </si>
  <si>
    <t>2024-09-15 08:00</t>
  </si>
  <si>
    <t>2024-09-15 09:00</t>
  </si>
  <si>
    <t>2024-09-15 10:00</t>
  </si>
  <si>
    <t>2024-09-15 12:00</t>
  </si>
  <si>
    <t>2024-09-15 13:00</t>
  </si>
  <si>
    <t>2024-09-15 14:00</t>
  </si>
  <si>
    <t>2024-09-15 16:00</t>
  </si>
  <si>
    <t>2024-09-15 18:00</t>
  </si>
  <si>
    <t>2024-09-15 19:00</t>
  </si>
  <si>
    <t>2024-09-15 20:00</t>
  </si>
  <si>
    <t>2024-09-15 22:00</t>
  </si>
  <si>
    <t>2024-09-16 06:00</t>
  </si>
  <si>
    <t>2024-09-16 07:00</t>
  </si>
  <si>
    <t>2024-09-16 07:30</t>
  </si>
  <si>
    <t>2024-09-16 08:00</t>
  </si>
  <si>
    <t>2024-09-16 09:00</t>
  </si>
  <si>
    <t>2024-09-16 10:00</t>
  </si>
  <si>
    <t>2024-09-16 12:00</t>
  </si>
  <si>
    <t>2024-09-16 13:00</t>
  </si>
  <si>
    <t>2024-09-16 14:00</t>
  </si>
  <si>
    <t>2024-09-16 16:00</t>
  </si>
  <si>
    <t>2024-09-16 18:00</t>
  </si>
  <si>
    <t>2024-09-16 19:00</t>
  </si>
  <si>
    <t>2024-09-16 20:00</t>
  </si>
  <si>
    <t>2024-09-16 22:00</t>
  </si>
  <si>
    <t>2024-09-17 06:00</t>
  </si>
  <si>
    <t>2024-09-17 07:00</t>
  </si>
  <si>
    <t>2024-09-17 07:30</t>
  </si>
  <si>
    <t>2024-09-17 08:00</t>
  </si>
  <si>
    <t>2024-09-17 09:00</t>
  </si>
  <si>
    <t>2024-09-17 10:00</t>
  </si>
  <si>
    <t>2024-09-17 12:00</t>
  </si>
  <si>
    <t>2024-09-17 13:00</t>
  </si>
  <si>
    <t>2024-09-17 14:00</t>
  </si>
  <si>
    <t>2024-09-17 16:00</t>
  </si>
  <si>
    <t>2024-09-17 18:00</t>
  </si>
  <si>
    <t>2024-09-17 19:00</t>
  </si>
  <si>
    <t>2024-09-17 20:00</t>
  </si>
  <si>
    <t>2024-09-17 22:00</t>
  </si>
  <si>
    <t>2024-09-18 06:00</t>
  </si>
  <si>
    <t>2024-09-18 07:00</t>
  </si>
  <si>
    <t>2024-09-18 07:30</t>
  </si>
  <si>
    <t>2024-09-18 08:00</t>
  </si>
  <si>
    <t>2024-09-18 09:00</t>
  </si>
  <si>
    <t>2024-09-18 10:00</t>
  </si>
  <si>
    <t>2024-09-18 12:00</t>
  </si>
  <si>
    <t>2024-09-18 13:00</t>
  </si>
  <si>
    <t>2024-09-18 14:00</t>
  </si>
  <si>
    <t>2024-09-18 16:00</t>
  </si>
  <si>
    <t>2024-09-18 18:00</t>
  </si>
  <si>
    <t>2024-09-18 19:00</t>
  </si>
  <si>
    <t>2024-09-18 20:00</t>
  </si>
  <si>
    <t>2024-09-18 22:00</t>
  </si>
  <si>
    <t>2024-09-19 06:00</t>
  </si>
  <si>
    <t>2024-09-19 07:00</t>
  </si>
  <si>
    <t>2024-09-19 07:30</t>
  </si>
  <si>
    <t>2024-09-19 08:00</t>
  </si>
  <si>
    <t>2024-09-19 09:00</t>
  </si>
  <si>
    <t>2024-09-19 10:00</t>
  </si>
  <si>
    <t>2024-09-19 12:00</t>
  </si>
  <si>
    <t>2024-09-19 13:00</t>
  </si>
  <si>
    <t>2024-09-19 14:00</t>
  </si>
  <si>
    <t>2024-09-19 16:00</t>
  </si>
  <si>
    <t>2024-09-19 18:00</t>
  </si>
  <si>
    <t>2024-09-19 19:00</t>
  </si>
  <si>
    <t>2024-09-19 20:00</t>
  </si>
  <si>
    <t>2024-09-19 22:00</t>
  </si>
  <si>
    <t>2024-09-20 06:00</t>
  </si>
  <si>
    <t>2024-09-20 07:00</t>
  </si>
  <si>
    <t>2024-09-20 07:30</t>
  </si>
  <si>
    <t>2024-09-20 08:00</t>
  </si>
  <si>
    <t>2024-09-20 09:00</t>
  </si>
  <si>
    <t>2024-09-20 10:00</t>
  </si>
  <si>
    <t>2024-09-20 12:00</t>
  </si>
  <si>
    <t>2024-09-20 13:00</t>
  </si>
  <si>
    <t>2024-09-20 14:00</t>
  </si>
  <si>
    <t>2024-09-20 16:00</t>
  </si>
  <si>
    <t>2024-09-20 18:00</t>
  </si>
  <si>
    <t>2024-09-20 19:00</t>
  </si>
  <si>
    <t>2024-09-20 20:00</t>
  </si>
  <si>
    <t>2024-09-20 22:00</t>
  </si>
  <si>
    <t>2024-09-21 06:00</t>
  </si>
  <si>
    <t>2024-09-21 07:00</t>
  </si>
  <si>
    <t>2024-09-21 07:30</t>
  </si>
  <si>
    <t>2024-09-21 08:00</t>
  </si>
  <si>
    <t>2024-09-21 09:00</t>
  </si>
  <si>
    <t>2024-09-21 10:00</t>
  </si>
  <si>
    <t>2024-09-21 12:00</t>
  </si>
  <si>
    <t>2024-09-21 13:00</t>
  </si>
  <si>
    <t>2024-09-21 14:00</t>
  </si>
  <si>
    <t>2024-09-21 16:00</t>
  </si>
  <si>
    <t>2024-09-21 18:00</t>
  </si>
  <si>
    <t>2024-09-21 19:00</t>
  </si>
  <si>
    <t>2024-09-21 20:00</t>
  </si>
  <si>
    <t>2024-09-21 22:00</t>
  </si>
  <si>
    <t>2024-09-22 06:00</t>
  </si>
  <si>
    <t>2024-09-22 07:00</t>
  </si>
  <si>
    <t>2024-09-22 07:30</t>
  </si>
  <si>
    <t>2024-09-22 08:00</t>
  </si>
  <si>
    <t>2024-09-22 09:00</t>
  </si>
  <si>
    <t>2024-09-22 10:00</t>
  </si>
  <si>
    <t>2024-09-22 12:00</t>
  </si>
  <si>
    <t>2024-09-22 13:00</t>
  </si>
  <si>
    <t>2024-09-22 14:00</t>
  </si>
  <si>
    <t>2024-09-22 16:00</t>
  </si>
  <si>
    <t>2024-09-22 18:00</t>
  </si>
  <si>
    <t>2024-09-22 19:00</t>
  </si>
  <si>
    <t>2024-09-22 20:00</t>
  </si>
  <si>
    <t>2024-09-22 22:00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</si>
  <si>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</si>
  <si>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</si>
  <si>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</si>
  <si>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</si>
  <si>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</si>
  <si>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</si>
  <si>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</si>
  <si>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</si>
  <si>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响应时间</t>
    <phoneticPr fontId="2" type="noConversion"/>
  </si>
  <si>
    <t>体脂分析</t>
    <phoneticPr fontId="2" type="noConversion"/>
  </si>
  <si>
    <t>血糖</t>
    <phoneticPr fontId="2" type="noConversion"/>
  </si>
  <si>
    <t>小时</t>
  </si>
  <si>
    <t>类型</t>
  </si>
  <si>
    <t>血压</t>
  </si>
  <si>
    <t>血糖</t>
  </si>
  <si>
    <t>体脂</t>
  </si>
  <si>
    <t>Row Labels</t>
  </si>
  <si>
    <t>Grand Total</t>
  </si>
  <si>
    <t>Average of 体脂分析</t>
  </si>
  <si>
    <t>Average of 血糖</t>
  </si>
  <si>
    <t>Average of 舒张压</t>
  </si>
  <si>
    <t>Average of 收缩压</t>
  </si>
  <si>
    <t>Count of 时间戳</t>
  </si>
  <si>
    <t>Average of 响应时间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</si>
</sst>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sz val="9"/>
      <name val="Calibri"/>
      <family val="3"/>
      <charset val="134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NumberFormat="1" applyFont="1"/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86.710037500001" createdVersion="8" refreshedVersion="8" minRefreshableVersion="3" recordCount="168" xr:uid="{F455379F-5C79-4B47-8468-B57EF31DB53F}">
  <cacheSource type="worksheet">
    <worksheetSource ref="A1:H169" sheet="Sheet1"/>
  </cacheSource>
  <cacheFields count="8">
    <cacheField name="时间戳" numFmtId="0">
      <sharedItems count="120">
        <s v="2024-09-15 00:00"/>
        <s v="2024-09-15 06:00"/>
        <s v="2024-09-15 07:00"/>
        <s v="2024-09-15 07:30"/>
        <s v="2024-09-15 08:00"/>
        <s v="2024-09-15 09:00"/>
        <s v="2024-09-15 10:00"/>
        <s v="2024-09-15 12:00"/>
        <s v="2024-09-15 13:00"/>
        <s v="2024-09-15 14:00"/>
        <s v="2024-09-15 16:00"/>
        <s v="2024-09-15 18:00"/>
        <s v="2024-09-15 19:00"/>
        <s v="2024-09-15 20:00"/>
        <s v="2024-09-15 22:00"/>
        <s v="2024-09-16 00:00"/>
        <s v="2024-09-16 06:00"/>
        <s v="2024-09-16 07:00"/>
        <s v="2024-09-16 07:30"/>
        <s v="2024-09-16 08:00"/>
        <s v="2024-09-16 09:00"/>
        <s v="2024-09-16 10:00"/>
        <s v="2024-09-16 12:00"/>
        <s v="2024-09-16 13:00"/>
        <s v="2024-09-16 14:00"/>
        <s v="2024-09-16 16:00"/>
        <s v="2024-09-16 18:00"/>
        <s v="2024-09-16 19:00"/>
        <s v="2024-09-16 20:00"/>
        <s v="2024-09-16 22:00"/>
        <s v="2024-09-17 00:00"/>
        <s v="2024-09-17 06:00"/>
        <s v="2024-09-17 07:00"/>
        <s v="2024-09-17 07:30"/>
        <s v="2024-09-17 08:00"/>
        <s v="2024-09-17 09:00"/>
        <s v="2024-09-17 10:00"/>
        <s v="2024-09-17 12:00"/>
        <s v="2024-09-17 13:00"/>
        <s v="2024-09-17 14:00"/>
        <s v="2024-09-17 16:00"/>
        <s v="2024-09-17 18:00"/>
        <s v="2024-09-17 19:00"/>
        <s v="2024-09-17 20:00"/>
        <s v="2024-09-17 22:00"/>
        <s v="2024-09-18 00:00"/>
        <s v="2024-09-18 06:00"/>
        <s v="2024-09-18 07:00"/>
        <s v="2024-09-18 07:30"/>
        <s v="2024-09-18 08:00"/>
        <s v="2024-09-18 09:00"/>
        <s v="2024-09-18 10:00"/>
        <s v="2024-09-18 12:00"/>
        <s v="2024-09-18 13:00"/>
        <s v="2024-09-18 14:00"/>
        <s v="2024-09-18 16:00"/>
        <s v="2024-09-18 18:00"/>
        <s v="2024-09-18 19:00"/>
        <s v="2024-09-18 20:00"/>
        <s v="2024-09-18 22:00"/>
        <s v="2024-09-19 00:00"/>
        <s v="2024-09-19 06:00"/>
        <s v="2024-09-19 07:00"/>
        <s v="2024-09-19 07:30"/>
        <s v="2024-09-19 08:00"/>
        <s v="2024-09-19 09:00"/>
        <s v="2024-09-19 10:00"/>
        <s v="2024-09-19 12:00"/>
        <s v="2024-09-19 13:00"/>
        <s v="2024-09-19 14:00"/>
        <s v="2024-09-19 16:00"/>
        <s v="2024-09-19 18:00"/>
        <s v="2024-09-19 19:00"/>
        <s v="2024-09-19 20:00"/>
        <s v="2024-09-19 22:00"/>
        <s v="2024-09-20 00:00"/>
        <s v="2024-09-20 06:00"/>
        <s v="2024-09-20 07:00"/>
        <s v="2024-09-20 07:30"/>
        <s v="2024-09-20 08:00"/>
        <s v="2024-09-20 09:00"/>
        <s v="2024-09-20 10:00"/>
        <s v="2024-09-20 12:00"/>
        <s v="2024-09-20 13:00"/>
        <s v="2024-09-20 14:00"/>
        <s v="2024-09-20 16:00"/>
        <s v="2024-09-20 18:00"/>
        <s v="2024-09-20 19:00"/>
        <s v="2024-09-20 20:00"/>
        <s v="2024-09-20 22:00"/>
        <s v="2024-09-21 00:00"/>
        <s v="2024-09-21 06:00"/>
        <s v="2024-09-21 07:00"/>
        <s v="2024-09-21 07:30"/>
        <s v="2024-09-21 08:00"/>
        <s v="2024-09-21 09:00"/>
        <s v="2024-09-21 10:00"/>
        <s v="2024-09-21 12:00"/>
        <s v="2024-09-21 13:00"/>
        <s v="2024-09-21 14:00"/>
        <s v="2024-09-21 16:00"/>
        <s v="2024-09-21 18:00"/>
        <s v="2024-09-21 19:00"/>
        <s v="2024-09-21 20:00"/>
        <s v="2024-09-21 22:00"/>
        <s v="2024-09-22 00:00"/>
        <s v="2024-09-22 06:00"/>
        <s v="2024-09-22 07:00"/>
        <s v="2024-09-22 07:30"/>
        <s v="2024-09-22 08:00"/>
        <s v="2024-09-22 09:00"/>
        <s v="2024-09-22 10:00"/>
        <s v="2024-09-22 12:00"/>
        <s v="2024-09-22 13:00"/>
        <s v="2024-09-22 14:00"/>
        <s v="2024-09-22 16:00"/>
        <s v="2024-09-22 18:00"/>
        <s v="2024-09-22 19:00"/>
        <s v="2024-09-22 20:00"/>
        <s v="2024-09-22 22:00"/>
      </sharedItems>
    </cacheField>
    <cacheField name="小时" numFmtId="0">
      <sharedItems containsSemiMixedTypes="0" containsString="0" containsNumber="1" containsInteger="1" minValue="0" maxValue="22" count="14">
        <n v="0"/>
        <n v="6"/>
        <n v="7"/>
        <n v="8"/>
        <n v="9"/>
        <n v="10"/>
        <n v="12"/>
        <n v="13"/>
        <n v="14"/>
        <n v="16"/>
        <n v="18"/>
        <n v="19"/>
        <n v="20"/>
        <n v="22"/>
      </sharedItems>
    </cacheField>
    <cacheField name="类型" numFmtId="0">
      <sharedItems count="3">
        <s v="血压"/>
        <s v="血糖"/>
        <s v="体脂"/>
      </sharedItems>
    </cacheField>
    <cacheField name="收缩压" numFmtId="0">
      <sharedItems containsString="0" containsBlank="1" containsNumber="1" containsInteger="1" minValue="90" maxValue="150"/>
    </cacheField>
    <cacheField name="舒张压" numFmtId="0">
      <sharedItems containsString="0" containsBlank="1" containsNumber="1" containsInteger="1" minValue="60" maxValue="90"/>
    </cacheField>
    <cacheField name="血糖" numFmtId="0">
      <sharedItems containsString="0" containsBlank="1" containsNumber="1" minValue="4.0199999999999996" maxValue="7.75"/>
    </cacheField>
    <cacheField name="体脂分析" numFmtId="0">
      <sharedItems containsString="0" containsBlank="1" containsNumber="1" minValue="0.17" maxValue="0.17"/>
    </cacheField>
    <cacheField name="响应时间" numFmtId="0">
      <sharedItems containsSemiMixedTypes="0" containsString="0" containsNumber="1" minValue="0.2" maxValue="0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x v="0"/>
    <x v="0"/>
    <n v="111"/>
    <n v="80"/>
    <m/>
    <m/>
    <n v="0.8"/>
  </r>
  <r>
    <x v="1"/>
    <x v="1"/>
    <x v="0"/>
    <n v="128"/>
    <n v="79"/>
    <m/>
    <m/>
    <n v="0.5"/>
  </r>
  <r>
    <x v="2"/>
    <x v="2"/>
    <x v="1"/>
    <m/>
    <m/>
    <n v="4.37"/>
    <m/>
    <n v="0.89"/>
  </r>
  <r>
    <x v="2"/>
    <x v="2"/>
    <x v="2"/>
    <m/>
    <m/>
    <m/>
    <n v="0.17"/>
    <n v="0.69"/>
  </r>
  <r>
    <x v="3"/>
    <x v="2"/>
    <x v="0"/>
    <n v="128"/>
    <n v="74"/>
    <m/>
    <m/>
    <n v="0.56999999999999995"/>
  </r>
  <r>
    <x v="4"/>
    <x v="3"/>
    <x v="1"/>
    <m/>
    <m/>
    <n v="7.71"/>
    <m/>
    <n v="0.74"/>
  </r>
  <r>
    <x v="5"/>
    <x v="4"/>
    <x v="1"/>
    <m/>
    <m/>
    <n v="6.46"/>
    <m/>
    <n v="0.7"/>
  </r>
  <r>
    <x v="6"/>
    <x v="5"/>
    <x v="0"/>
    <n v="132"/>
    <n v="67"/>
    <m/>
    <m/>
    <n v="0.78"/>
  </r>
  <r>
    <x v="7"/>
    <x v="6"/>
    <x v="1"/>
    <m/>
    <m/>
    <n v="4.5999999999999996"/>
    <m/>
    <n v="0.47"/>
  </r>
  <r>
    <x v="7"/>
    <x v="6"/>
    <x v="0"/>
    <n v="110"/>
    <n v="66"/>
    <m/>
    <m/>
    <n v="0.99"/>
  </r>
  <r>
    <x v="8"/>
    <x v="7"/>
    <x v="1"/>
    <m/>
    <m/>
    <n v="6.28"/>
    <m/>
    <n v="0.51"/>
  </r>
  <r>
    <x v="8"/>
    <x v="7"/>
    <x v="0"/>
    <n v="108"/>
    <n v="82"/>
    <m/>
    <m/>
    <n v="0.99"/>
  </r>
  <r>
    <x v="9"/>
    <x v="8"/>
    <x v="1"/>
    <m/>
    <m/>
    <n v="5.31"/>
    <m/>
    <n v="0.41"/>
  </r>
  <r>
    <x v="10"/>
    <x v="9"/>
    <x v="0"/>
    <n v="100"/>
    <n v="70"/>
    <m/>
    <m/>
    <n v="0.95"/>
  </r>
  <r>
    <x v="11"/>
    <x v="10"/>
    <x v="1"/>
    <m/>
    <m/>
    <n v="4.0599999999999996"/>
    <m/>
    <n v="0.97"/>
  </r>
  <r>
    <x v="11"/>
    <x v="10"/>
    <x v="0"/>
    <n v="113"/>
    <n v="80"/>
    <m/>
    <m/>
    <n v="0.51"/>
  </r>
  <r>
    <x v="12"/>
    <x v="11"/>
    <x v="1"/>
    <m/>
    <m/>
    <n v="7.56"/>
    <m/>
    <n v="0.54"/>
  </r>
  <r>
    <x v="12"/>
    <x v="11"/>
    <x v="0"/>
    <n v="125"/>
    <n v="67"/>
    <m/>
    <m/>
    <n v="0.39"/>
  </r>
  <r>
    <x v="13"/>
    <x v="12"/>
    <x v="1"/>
    <m/>
    <m/>
    <n v="6.2"/>
    <m/>
    <n v="0.66"/>
  </r>
  <r>
    <x v="14"/>
    <x v="13"/>
    <x v="1"/>
    <m/>
    <m/>
    <n v="4.91"/>
    <m/>
    <n v="0.66"/>
  </r>
  <r>
    <x v="14"/>
    <x v="13"/>
    <x v="0"/>
    <n v="113"/>
    <n v="62"/>
    <m/>
    <m/>
    <n v="0.87"/>
  </r>
  <r>
    <x v="15"/>
    <x v="0"/>
    <x v="0"/>
    <n v="105"/>
    <n v="74"/>
    <m/>
    <m/>
    <n v="0.28000000000000003"/>
  </r>
  <r>
    <x v="16"/>
    <x v="1"/>
    <x v="0"/>
    <n v="91"/>
    <n v="83"/>
    <m/>
    <m/>
    <n v="0.37"/>
  </r>
  <r>
    <x v="17"/>
    <x v="2"/>
    <x v="1"/>
    <m/>
    <m/>
    <n v="4.0199999999999996"/>
    <m/>
    <n v="0.8"/>
  </r>
  <r>
    <x v="17"/>
    <x v="2"/>
    <x v="2"/>
    <m/>
    <m/>
    <m/>
    <n v="0.17"/>
    <n v="0.65"/>
  </r>
  <r>
    <x v="18"/>
    <x v="2"/>
    <x v="0"/>
    <n v="143"/>
    <n v="89"/>
    <m/>
    <m/>
    <n v="0.23"/>
  </r>
  <r>
    <x v="19"/>
    <x v="3"/>
    <x v="1"/>
    <m/>
    <m/>
    <n v="7.75"/>
    <m/>
    <n v="0.86"/>
  </r>
  <r>
    <x v="20"/>
    <x v="4"/>
    <x v="1"/>
    <m/>
    <m/>
    <n v="6.66"/>
    <m/>
    <n v="0.51"/>
  </r>
  <r>
    <x v="21"/>
    <x v="5"/>
    <x v="0"/>
    <n v="127"/>
    <n v="61"/>
    <m/>
    <m/>
    <n v="0.56000000000000005"/>
  </r>
  <r>
    <x v="22"/>
    <x v="6"/>
    <x v="1"/>
    <m/>
    <m/>
    <n v="4.21"/>
    <m/>
    <n v="0.27"/>
  </r>
  <r>
    <x v="22"/>
    <x v="6"/>
    <x v="0"/>
    <n v="110"/>
    <n v="60"/>
    <m/>
    <m/>
    <n v="0.78"/>
  </r>
  <r>
    <x v="23"/>
    <x v="7"/>
    <x v="1"/>
    <m/>
    <m/>
    <n v="6.33"/>
    <m/>
    <n v="0.27"/>
  </r>
  <r>
    <x v="23"/>
    <x v="7"/>
    <x v="0"/>
    <n v="101"/>
    <n v="85"/>
    <m/>
    <m/>
    <n v="0.8"/>
  </r>
  <r>
    <x v="24"/>
    <x v="8"/>
    <x v="1"/>
    <m/>
    <m/>
    <n v="5.37"/>
    <m/>
    <n v="0.37"/>
  </r>
  <r>
    <x v="25"/>
    <x v="9"/>
    <x v="0"/>
    <n v="111"/>
    <n v="88"/>
    <m/>
    <m/>
    <n v="0.33"/>
  </r>
  <r>
    <x v="26"/>
    <x v="10"/>
    <x v="1"/>
    <m/>
    <m/>
    <n v="4.3"/>
    <m/>
    <n v="0.64"/>
  </r>
  <r>
    <x v="26"/>
    <x v="10"/>
    <x v="0"/>
    <n v="133"/>
    <n v="84"/>
    <m/>
    <m/>
    <n v="0.85"/>
  </r>
  <r>
    <x v="27"/>
    <x v="11"/>
    <x v="1"/>
    <m/>
    <m/>
    <n v="6.94"/>
    <m/>
    <n v="0.28000000000000003"/>
  </r>
  <r>
    <x v="27"/>
    <x v="11"/>
    <x v="0"/>
    <n v="138"/>
    <n v="86"/>
    <m/>
    <m/>
    <n v="0.94"/>
  </r>
  <r>
    <x v="28"/>
    <x v="12"/>
    <x v="1"/>
    <m/>
    <m/>
    <n v="5.86"/>
    <m/>
    <n v="0.32"/>
  </r>
  <r>
    <x v="29"/>
    <x v="13"/>
    <x v="1"/>
    <m/>
    <m/>
    <n v="4.49"/>
    <m/>
    <n v="0.67"/>
  </r>
  <r>
    <x v="29"/>
    <x v="13"/>
    <x v="0"/>
    <n v="131"/>
    <n v="87"/>
    <m/>
    <m/>
    <n v="0.88"/>
  </r>
  <r>
    <x v="30"/>
    <x v="0"/>
    <x v="0"/>
    <n v="91"/>
    <n v="79"/>
    <m/>
    <m/>
    <n v="0.41"/>
  </r>
  <r>
    <x v="31"/>
    <x v="1"/>
    <x v="0"/>
    <n v="136"/>
    <n v="89"/>
    <m/>
    <m/>
    <n v="0.65"/>
  </r>
  <r>
    <x v="32"/>
    <x v="2"/>
    <x v="1"/>
    <m/>
    <m/>
    <n v="4.6100000000000003"/>
    <m/>
    <n v="0.59"/>
  </r>
  <r>
    <x v="32"/>
    <x v="2"/>
    <x v="2"/>
    <m/>
    <m/>
    <m/>
    <n v="0.17"/>
    <n v="0.68"/>
  </r>
  <r>
    <x v="33"/>
    <x v="2"/>
    <x v="0"/>
    <n v="150"/>
    <n v="71"/>
    <m/>
    <m/>
    <n v="0.6"/>
  </r>
  <r>
    <x v="34"/>
    <x v="3"/>
    <x v="1"/>
    <m/>
    <m/>
    <n v="6.25"/>
    <m/>
    <n v="0.76"/>
  </r>
  <r>
    <x v="35"/>
    <x v="4"/>
    <x v="1"/>
    <m/>
    <m/>
    <n v="5.58"/>
    <m/>
    <n v="0.46"/>
  </r>
  <r>
    <x v="36"/>
    <x v="5"/>
    <x v="0"/>
    <n v="92"/>
    <n v="64"/>
    <m/>
    <m/>
    <n v="0.61"/>
  </r>
  <r>
    <x v="37"/>
    <x v="6"/>
    <x v="1"/>
    <m/>
    <m/>
    <n v="4.37"/>
    <m/>
    <n v="0.52"/>
  </r>
  <r>
    <x v="37"/>
    <x v="6"/>
    <x v="0"/>
    <n v="140"/>
    <n v="66"/>
    <m/>
    <m/>
    <n v="0.53"/>
  </r>
  <r>
    <x v="38"/>
    <x v="7"/>
    <x v="1"/>
    <m/>
    <m/>
    <n v="6.82"/>
    <m/>
    <n v="0.79"/>
  </r>
  <r>
    <x v="38"/>
    <x v="7"/>
    <x v="0"/>
    <n v="110"/>
    <n v="68"/>
    <m/>
    <m/>
    <n v="0.44"/>
  </r>
  <r>
    <x v="39"/>
    <x v="8"/>
    <x v="1"/>
    <m/>
    <m/>
    <n v="6.57"/>
    <m/>
    <n v="0.8"/>
  </r>
  <r>
    <x v="40"/>
    <x v="9"/>
    <x v="0"/>
    <n v="128"/>
    <n v="77"/>
    <m/>
    <m/>
    <n v="0.45"/>
  </r>
  <r>
    <x v="41"/>
    <x v="10"/>
    <x v="1"/>
    <m/>
    <m/>
    <n v="4.2"/>
    <m/>
    <n v="0.62"/>
  </r>
  <r>
    <x v="41"/>
    <x v="10"/>
    <x v="0"/>
    <n v="93"/>
    <n v="84"/>
    <m/>
    <m/>
    <n v="0.61"/>
  </r>
  <r>
    <x v="42"/>
    <x v="11"/>
    <x v="1"/>
    <m/>
    <m/>
    <n v="6.93"/>
    <m/>
    <n v="0.94"/>
  </r>
  <r>
    <x v="42"/>
    <x v="11"/>
    <x v="0"/>
    <n v="103"/>
    <n v="77"/>
    <m/>
    <m/>
    <n v="0.65"/>
  </r>
  <r>
    <x v="43"/>
    <x v="12"/>
    <x v="1"/>
    <m/>
    <m/>
    <n v="6.18"/>
    <m/>
    <n v="0.76"/>
  </r>
  <r>
    <x v="44"/>
    <x v="13"/>
    <x v="1"/>
    <m/>
    <m/>
    <n v="4.25"/>
    <m/>
    <n v="0.51"/>
  </r>
  <r>
    <x v="44"/>
    <x v="13"/>
    <x v="0"/>
    <n v="98"/>
    <n v="85"/>
    <m/>
    <m/>
    <n v="0.4"/>
  </r>
  <r>
    <x v="45"/>
    <x v="0"/>
    <x v="0"/>
    <n v="118"/>
    <n v="90"/>
    <m/>
    <m/>
    <n v="0.62"/>
  </r>
  <r>
    <x v="46"/>
    <x v="1"/>
    <x v="0"/>
    <n v="117"/>
    <n v="74"/>
    <m/>
    <m/>
    <n v="0.53"/>
  </r>
  <r>
    <x v="47"/>
    <x v="2"/>
    <x v="1"/>
    <m/>
    <m/>
    <n v="4.6100000000000003"/>
    <m/>
    <n v="0.42"/>
  </r>
  <r>
    <x v="47"/>
    <x v="2"/>
    <x v="2"/>
    <m/>
    <m/>
    <m/>
    <n v="0.17"/>
    <n v="0.64"/>
  </r>
  <r>
    <x v="48"/>
    <x v="2"/>
    <x v="0"/>
    <n v="106"/>
    <n v="71"/>
    <m/>
    <m/>
    <n v="0.62"/>
  </r>
  <r>
    <x v="49"/>
    <x v="3"/>
    <x v="1"/>
    <m/>
    <m/>
    <n v="6.31"/>
    <m/>
    <n v="0.48"/>
  </r>
  <r>
    <x v="50"/>
    <x v="4"/>
    <x v="1"/>
    <m/>
    <m/>
    <n v="5.13"/>
    <m/>
    <n v="0.98"/>
  </r>
  <r>
    <x v="51"/>
    <x v="5"/>
    <x v="0"/>
    <n v="97"/>
    <n v="74"/>
    <m/>
    <m/>
    <n v="0.64"/>
  </r>
  <r>
    <x v="52"/>
    <x v="6"/>
    <x v="1"/>
    <m/>
    <m/>
    <n v="4.95"/>
    <m/>
    <n v="0.63"/>
  </r>
  <r>
    <x v="52"/>
    <x v="6"/>
    <x v="0"/>
    <n v="124"/>
    <n v="73"/>
    <m/>
    <m/>
    <n v="0.49"/>
  </r>
  <r>
    <x v="53"/>
    <x v="7"/>
    <x v="1"/>
    <m/>
    <m/>
    <n v="7.74"/>
    <m/>
    <n v="0.69"/>
  </r>
  <r>
    <x v="53"/>
    <x v="7"/>
    <x v="0"/>
    <n v="106"/>
    <n v="63"/>
    <m/>
    <m/>
    <n v="0.71"/>
  </r>
  <r>
    <x v="54"/>
    <x v="8"/>
    <x v="1"/>
    <m/>
    <m/>
    <n v="6.62"/>
    <m/>
    <n v="0.95"/>
  </r>
  <r>
    <x v="55"/>
    <x v="9"/>
    <x v="0"/>
    <n v="139"/>
    <n v="67"/>
    <m/>
    <m/>
    <n v="0.89"/>
  </r>
  <r>
    <x v="56"/>
    <x v="10"/>
    <x v="1"/>
    <m/>
    <m/>
    <n v="4.3"/>
    <m/>
    <n v="0.22"/>
  </r>
  <r>
    <x v="56"/>
    <x v="10"/>
    <x v="0"/>
    <n v="93"/>
    <n v="61"/>
    <m/>
    <m/>
    <n v="0.77"/>
  </r>
  <r>
    <x v="57"/>
    <x v="11"/>
    <x v="1"/>
    <m/>
    <m/>
    <n v="6.18"/>
    <m/>
    <n v="0.8"/>
  </r>
  <r>
    <x v="57"/>
    <x v="11"/>
    <x v="0"/>
    <n v="95"/>
    <n v="81"/>
    <m/>
    <m/>
    <n v="0.95"/>
  </r>
  <r>
    <x v="58"/>
    <x v="12"/>
    <x v="1"/>
    <m/>
    <m/>
    <n v="6.37"/>
    <m/>
    <n v="0.23"/>
  </r>
  <r>
    <x v="59"/>
    <x v="13"/>
    <x v="1"/>
    <m/>
    <m/>
    <n v="4.6399999999999997"/>
    <m/>
    <n v="0.63"/>
  </r>
  <r>
    <x v="59"/>
    <x v="13"/>
    <x v="0"/>
    <n v="131"/>
    <n v="63"/>
    <m/>
    <m/>
    <n v="0.73"/>
  </r>
  <r>
    <x v="60"/>
    <x v="0"/>
    <x v="0"/>
    <n v="107"/>
    <n v="74"/>
    <m/>
    <m/>
    <n v="0.63"/>
  </r>
  <r>
    <x v="61"/>
    <x v="1"/>
    <x v="0"/>
    <n v="107"/>
    <n v="85"/>
    <m/>
    <m/>
    <n v="0.92"/>
  </r>
  <r>
    <x v="62"/>
    <x v="2"/>
    <x v="1"/>
    <m/>
    <m/>
    <n v="4.12"/>
    <m/>
    <n v="0.78"/>
  </r>
  <r>
    <x v="62"/>
    <x v="2"/>
    <x v="2"/>
    <m/>
    <m/>
    <m/>
    <n v="0.17"/>
    <n v="0.66"/>
  </r>
  <r>
    <x v="63"/>
    <x v="2"/>
    <x v="0"/>
    <n v="143"/>
    <n v="61"/>
    <m/>
    <m/>
    <n v="0.82"/>
  </r>
  <r>
    <x v="64"/>
    <x v="3"/>
    <x v="1"/>
    <m/>
    <m/>
    <n v="6.89"/>
    <m/>
    <n v="0.39"/>
  </r>
  <r>
    <x v="65"/>
    <x v="4"/>
    <x v="1"/>
    <m/>
    <m/>
    <n v="5.07"/>
    <m/>
    <n v="0.69"/>
  </r>
  <r>
    <x v="66"/>
    <x v="5"/>
    <x v="0"/>
    <n v="99"/>
    <n v="89"/>
    <m/>
    <m/>
    <n v="0.27"/>
  </r>
  <r>
    <x v="67"/>
    <x v="6"/>
    <x v="1"/>
    <m/>
    <m/>
    <n v="4.91"/>
    <m/>
    <n v="0.74"/>
  </r>
  <r>
    <x v="67"/>
    <x v="6"/>
    <x v="0"/>
    <n v="125"/>
    <n v="73"/>
    <m/>
    <m/>
    <n v="0.92"/>
  </r>
  <r>
    <x v="68"/>
    <x v="7"/>
    <x v="1"/>
    <m/>
    <m/>
    <n v="6.47"/>
    <m/>
    <n v="0.82"/>
  </r>
  <r>
    <x v="68"/>
    <x v="7"/>
    <x v="0"/>
    <n v="120"/>
    <n v="75"/>
    <m/>
    <m/>
    <n v="0.21"/>
  </r>
  <r>
    <x v="69"/>
    <x v="8"/>
    <x v="1"/>
    <m/>
    <m/>
    <n v="6.33"/>
    <m/>
    <n v="0.27"/>
  </r>
  <r>
    <x v="70"/>
    <x v="9"/>
    <x v="0"/>
    <n v="104"/>
    <n v="67"/>
    <m/>
    <m/>
    <n v="0.2"/>
  </r>
  <r>
    <x v="71"/>
    <x v="10"/>
    <x v="1"/>
    <m/>
    <m/>
    <n v="4.3099999999999996"/>
    <m/>
    <n v="0.76"/>
  </r>
  <r>
    <x v="71"/>
    <x v="10"/>
    <x v="0"/>
    <n v="103"/>
    <n v="82"/>
    <m/>
    <m/>
    <n v="0.64"/>
  </r>
  <r>
    <x v="72"/>
    <x v="11"/>
    <x v="1"/>
    <m/>
    <m/>
    <n v="6.94"/>
    <m/>
    <n v="0.71"/>
  </r>
  <r>
    <x v="72"/>
    <x v="11"/>
    <x v="0"/>
    <n v="129"/>
    <n v="80"/>
    <m/>
    <m/>
    <n v="0.38"/>
  </r>
  <r>
    <x v="73"/>
    <x v="12"/>
    <x v="1"/>
    <m/>
    <m/>
    <n v="6.09"/>
    <m/>
    <n v="0.93"/>
  </r>
  <r>
    <x v="74"/>
    <x v="13"/>
    <x v="1"/>
    <m/>
    <m/>
    <n v="4.38"/>
    <m/>
    <n v="0.76"/>
  </r>
  <r>
    <x v="74"/>
    <x v="13"/>
    <x v="0"/>
    <n v="105"/>
    <n v="72"/>
    <m/>
    <m/>
    <n v="0.49"/>
  </r>
  <r>
    <x v="75"/>
    <x v="0"/>
    <x v="0"/>
    <n v="100"/>
    <n v="78"/>
    <m/>
    <m/>
    <n v="0.88"/>
  </r>
  <r>
    <x v="76"/>
    <x v="1"/>
    <x v="0"/>
    <n v="113"/>
    <n v="85"/>
    <m/>
    <m/>
    <n v="0.92"/>
  </r>
  <r>
    <x v="77"/>
    <x v="2"/>
    <x v="1"/>
    <m/>
    <m/>
    <n v="4.97"/>
    <m/>
    <n v="0.56999999999999995"/>
  </r>
  <r>
    <x v="77"/>
    <x v="2"/>
    <x v="2"/>
    <m/>
    <m/>
    <m/>
    <n v="0.17"/>
    <n v="0.63"/>
  </r>
  <r>
    <x v="78"/>
    <x v="2"/>
    <x v="0"/>
    <n v="124"/>
    <n v="87"/>
    <m/>
    <m/>
    <n v="0.36"/>
  </r>
  <r>
    <x v="79"/>
    <x v="3"/>
    <x v="1"/>
    <m/>
    <m/>
    <n v="7.4"/>
    <m/>
    <n v="0.59"/>
  </r>
  <r>
    <x v="80"/>
    <x v="4"/>
    <x v="1"/>
    <m/>
    <m/>
    <n v="6.88"/>
    <m/>
    <n v="0.76"/>
  </r>
  <r>
    <x v="81"/>
    <x v="5"/>
    <x v="0"/>
    <n v="134"/>
    <n v="68"/>
    <m/>
    <m/>
    <n v="0.23"/>
  </r>
  <r>
    <x v="82"/>
    <x v="6"/>
    <x v="1"/>
    <m/>
    <m/>
    <n v="4.8899999999999997"/>
    <m/>
    <n v="0.76"/>
  </r>
  <r>
    <x v="82"/>
    <x v="6"/>
    <x v="0"/>
    <n v="118"/>
    <n v="74"/>
    <m/>
    <m/>
    <n v="0.57999999999999996"/>
  </r>
  <r>
    <x v="83"/>
    <x v="7"/>
    <x v="1"/>
    <m/>
    <m/>
    <n v="7.08"/>
    <m/>
    <n v="0.48"/>
  </r>
  <r>
    <x v="83"/>
    <x v="7"/>
    <x v="0"/>
    <n v="134"/>
    <n v="60"/>
    <m/>
    <m/>
    <n v="0.8"/>
  </r>
  <r>
    <x v="84"/>
    <x v="8"/>
    <x v="1"/>
    <m/>
    <m/>
    <n v="6.84"/>
    <m/>
    <n v="0.63"/>
  </r>
  <r>
    <x v="85"/>
    <x v="9"/>
    <x v="0"/>
    <n v="114"/>
    <n v="66"/>
    <m/>
    <m/>
    <n v="0.98"/>
  </r>
  <r>
    <x v="86"/>
    <x v="10"/>
    <x v="1"/>
    <m/>
    <m/>
    <n v="4.09"/>
    <m/>
    <n v="0.3"/>
  </r>
  <r>
    <x v="86"/>
    <x v="10"/>
    <x v="0"/>
    <n v="98"/>
    <n v="83"/>
    <m/>
    <m/>
    <n v="0.35"/>
  </r>
  <r>
    <x v="87"/>
    <x v="11"/>
    <x v="1"/>
    <m/>
    <m/>
    <n v="6.35"/>
    <m/>
    <n v="0.27"/>
  </r>
  <r>
    <x v="87"/>
    <x v="11"/>
    <x v="0"/>
    <n v="90"/>
    <n v="71"/>
    <m/>
    <m/>
    <n v="0.94"/>
  </r>
  <r>
    <x v="88"/>
    <x v="12"/>
    <x v="1"/>
    <m/>
    <m/>
    <n v="5.09"/>
    <m/>
    <n v="0.8"/>
  </r>
  <r>
    <x v="89"/>
    <x v="13"/>
    <x v="1"/>
    <m/>
    <m/>
    <n v="4.53"/>
    <m/>
    <n v="0.39"/>
  </r>
  <r>
    <x v="89"/>
    <x v="13"/>
    <x v="0"/>
    <n v="97"/>
    <n v="83"/>
    <m/>
    <m/>
    <n v="0.37"/>
  </r>
  <r>
    <x v="90"/>
    <x v="0"/>
    <x v="0"/>
    <n v="137"/>
    <n v="82"/>
    <m/>
    <m/>
    <n v="0.63"/>
  </r>
  <r>
    <x v="91"/>
    <x v="1"/>
    <x v="0"/>
    <n v="106"/>
    <n v="67"/>
    <m/>
    <m/>
    <n v="0.69"/>
  </r>
  <r>
    <x v="92"/>
    <x v="2"/>
    <x v="1"/>
    <m/>
    <m/>
    <n v="4.3899999999999997"/>
    <m/>
    <n v="0.78"/>
  </r>
  <r>
    <x v="92"/>
    <x v="2"/>
    <x v="2"/>
    <m/>
    <m/>
    <m/>
    <n v="0.17"/>
    <n v="0.68"/>
  </r>
  <r>
    <x v="93"/>
    <x v="2"/>
    <x v="0"/>
    <n v="134"/>
    <n v="62"/>
    <m/>
    <m/>
    <n v="0.2"/>
  </r>
  <r>
    <x v="94"/>
    <x v="3"/>
    <x v="1"/>
    <m/>
    <m/>
    <n v="6.49"/>
    <m/>
    <n v="0.32"/>
  </r>
  <r>
    <x v="95"/>
    <x v="4"/>
    <x v="1"/>
    <m/>
    <m/>
    <n v="6.66"/>
    <m/>
    <n v="0.63"/>
  </r>
  <r>
    <x v="96"/>
    <x v="5"/>
    <x v="0"/>
    <n v="122"/>
    <n v="86"/>
    <m/>
    <m/>
    <n v="0.26"/>
  </r>
  <r>
    <x v="97"/>
    <x v="6"/>
    <x v="1"/>
    <m/>
    <m/>
    <n v="4.3600000000000003"/>
    <m/>
    <n v="0.65"/>
  </r>
  <r>
    <x v="97"/>
    <x v="6"/>
    <x v="0"/>
    <n v="94"/>
    <n v="69"/>
    <m/>
    <m/>
    <n v="0.91"/>
  </r>
  <r>
    <x v="98"/>
    <x v="7"/>
    <x v="1"/>
    <m/>
    <m/>
    <n v="6.51"/>
    <m/>
    <n v="0.57999999999999996"/>
  </r>
  <r>
    <x v="98"/>
    <x v="7"/>
    <x v="0"/>
    <n v="128"/>
    <n v="85"/>
    <m/>
    <m/>
    <n v="0.99"/>
  </r>
  <r>
    <x v="99"/>
    <x v="8"/>
    <x v="1"/>
    <m/>
    <m/>
    <n v="6.09"/>
    <m/>
    <n v="0.57999999999999996"/>
  </r>
  <r>
    <x v="100"/>
    <x v="9"/>
    <x v="0"/>
    <n v="130"/>
    <n v="87"/>
    <m/>
    <m/>
    <n v="0.89"/>
  </r>
  <r>
    <x v="101"/>
    <x v="10"/>
    <x v="1"/>
    <m/>
    <m/>
    <n v="4.1399999999999997"/>
    <m/>
    <n v="0.65"/>
  </r>
  <r>
    <x v="101"/>
    <x v="10"/>
    <x v="0"/>
    <n v="96"/>
    <n v="68"/>
    <m/>
    <m/>
    <n v="0.82"/>
  </r>
  <r>
    <x v="102"/>
    <x v="11"/>
    <x v="1"/>
    <m/>
    <m/>
    <n v="7.44"/>
    <m/>
    <n v="0.47"/>
  </r>
  <r>
    <x v="102"/>
    <x v="11"/>
    <x v="0"/>
    <n v="97"/>
    <n v="71"/>
    <m/>
    <m/>
    <n v="0.7"/>
  </r>
  <r>
    <x v="103"/>
    <x v="12"/>
    <x v="1"/>
    <m/>
    <m/>
    <n v="5.15"/>
    <m/>
    <n v="0.4"/>
  </r>
  <r>
    <x v="104"/>
    <x v="13"/>
    <x v="1"/>
    <m/>
    <m/>
    <n v="5.19"/>
    <m/>
    <n v="0.49"/>
  </r>
  <r>
    <x v="104"/>
    <x v="13"/>
    <x v="0"/>
    <n v="123"/>
    <n v="60"/>
    <m/>
    <m/>
    <n v="0.24"/>
  </r>
  <r>
    <x v="105"/>
    <x v="0"/>
    <x v="0"/>
    <n v="115"/>
    <n v="82"/>
    <m/>
    <m/>
    <n v="0.69"/>
  </r>
  <r>
    <x v="106"/>
    <x v="1"/>
    <x v="0"/>
    <n v="112"/>
    <n v="89"/>
    <m/>
    <m/>
    <n v="0.46"/>
  </r>
  <r>
    <x v="107"/>
    <x v="2"/>
    <x v="1"/>
    <m/>
    <m/>
    <n v="4.7699999999999996"/>
    <m/>
    <n v="0.88"/>
  </r>
  <r>
    <x v="107"/>
    <x v="2"/>
    <x v="2"/>
    <m/>
    <m/>
    <m/>
    <n v="0.17"/>
    <n v="0.66"/>
  </r>
  <r>
    <x v="108"/>
    <x v="2"/>
    <x v="0"/>
    <n v="123"/>
    <n v="64"/>
    <m/>
    <m/>
    <n v="0.4"/>
  </r>
  <r>
    <x v="109"/>
    <x v="3"/>
    <x v="1"/>
    <m/>
    <m/>
    <n v="6.36"/>
    <m/>
    <n v="0.84"/>
  </r>
  <r>
    <x v="110"/>
    <x v="4"/>
    <x v="1"/>
    <m/>
    <m/>
    <n v="5.01"/>
    <m/>
    <n v="0.24"/>
  </r>
  <r>
    <x v="111"/>
    <x v="5"/>
    <x v="0"/>
    <n v="124"/>
    <n v="71"/>
    <m/>
    <m/>
    <n v="0.54"/>
  </r>
  <r>
    <x v="112"/>
    <x v="6"/>
    <x v="1"/>
    <m/>
    <m/>
    <n v="4.82"/>
    <m/>
    <n v="0.52"/>
  </r>
  <r>
    <x v="112"/>
    <x v="6"/>
    <x v="0"/>
    <n v="129"/>
    <n v="81"/>
    <m/>
    <m/>
    <n v="0.93"/>
  </r>
  <r>
    <x v="113"/>
    <x v="7"/>
    <x v="1"/>
    <m/>
    <m/>
    <n v="7.27"/>
    <m/>
    <n v="0.85"/>
  </r>
  <r>
    <x v="113"/>
    <x v="7"/>
    <x v="0"/>
    <n v="116"/>
    <n v="62"/>
    <m/>
    <m/>
    <n v="0.71"/>
  </r>
  <r>
    <x v="114"/>
    <x v="8"/>
    <x v="1"/>
    <m/>
    <m/>
    <n v="6.46"/>
    <m/>
    <n v="0.65"/>
  </r>
  <r>
    <x v="115"/>
    <x v="9"/>
    <x v="0"/>
    <n v="90"/>
    <n v="62"/>
    <m/>
    <m/>
    <n v="0.28999999999999998"/>
  </r>
  <r>
    <x v="116"/>
    <x v="10"/>
    <x v="1"/>
    <m/>
    <m/>
    <n v="4.7699999999999996"/>
    <m/>
    <n v="0.42"/>
  </r>
  <r>
    <x v="116"/>
    <x v="10"/>
    <x v="0"/>
    <n v="126"/>
    <n v="74"/>
    <m/>
    <m/>
    <n v="0.34"/>
  </r>
  <r>
    <x v="117"/>
    <x v="11"/>
    <x v="1"/>
    <m/>
    <m/>
    <n v="6.13"/>
    <m/>
    <n v="0.54"/>
  </r>
  <r>
    <x v="117"/>
    <x v="11"/>
    <x v="0"/>
    <n v="103"/>
    <n v="62"/>
    <m/>
    <m/>
    <n v="0.69"/>
  </r>
  <r>
    <x v="118"/>
    <x v="12"/>
    <x v="1"/>
    <m/>
    <m/>
    <n v="5.72"/>
    <m/>
    <n v="0.27"/>
  </r>
  <r>
    <x v="119"/>
    <x v="13"/>
    <x v="1"/>
    <m/>
    <m/>
    <n v="4.32"/>
    <m/>
    <n v="0.46"/>
  </r>
  <r>
    <x v="119"/>
    <x v="13"/>
    <x v="0"/>
    <n v="90"/>
    <n v="64"/>
    <m/>
    <m/>
    <n v="0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4604B-8035-8242-913A-7A24C84414AB}" name="PivotTable10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9:L23" firstHeaderRow="0" firstDataRow="1" firstDataCol="1"/>
  <pivotFields count="8">
    <pivotField dataField="1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响应时间" fld="7" subtotal="average" baseField="0" baseItem="0"/>
    <dataField name="Count of 时间戳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C507D-0329-2645-B219-078CE0B27941}" name="PivotTable9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N17" firstHeaderRow="0" firstDataRow="1" firstDataCol="1"/>
  <pivotFields count="8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2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体脂分析" fld="6" subtotal="average" baseField="0" baseItem="0"/>
    <dataField name="Average of 血糖" fld="5" subtotal="average" baseField="0" baseItem="0"/>
    <dataField name="Average of 舒张压" fld="4" subtotal="average" baseField="0" baseItem="0"/>
    <dataField name="Average of 收缩压" fld="3" subtotal="average" baseField="0" baseItem="0"/>
  </dataFields>
  <formats count="5">
    <format dxfId="4">
      <pivotArea collapsedLevelsAreSubtotals="1" fieldPosition="0">
        <references count="2">
          <reference field="4294967294" count="1" selected="0">
            <x v="1"/>
          </reference>
          <reference field="1" count="1">
            <x v="3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1"/>
          </reference>
          <reference field="1" count="1">
            <x v="7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1" count="1">
            <x v="8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1" count="1">
            <x v="11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3"/>
          </reference>
          <reference field="1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9"/>
  <sheetViews>
    <sheetView tabSelected="1" zoomScale="161" workbookViewId="0">
      <selection activeCell="J20" sqref="J20"/>
    </sheetView>
  </sheetViews>
  <sheetFormatPr baseColWidth="10" defaultColWidth="8.83203125" defaultRowHeight="15"/>
  <cols>
    <col min="1" max="3" width="17.33203125" customWidth="1"/>
    <col min="4" max="8" width="8.6640625"/>
    <col min="10" max="10" width="12.1640625" bestFit="1" customWidth="1"/>
    <col min="11" max="11" width="17.1640625" bestFit="1" customWidth="1"/>
    <col min="12" max="12" width="13.5" bestFit="1" customWidth="1"/>
    <col min="13" max="14" width="15.33203125" bestFit="1" customWidth="1"/>
  </cols>
  <sheetData>
    <row r="1" spans="1:14">
      <c r="A1" s="1" t="s">
        <v>0</v>
      </c>
      <c r="B1" s="1" t="s">
        <v>126</v>
      </c>
      <c r="C1" s="1" t="s">
        <v>127</v>
      </c>
      <c r="D1" s="1" t="s">
        <v>1</v>
      </c>
      <c r="E1" s="1" t="s">
        <v>2</v>
      </c>
      <c r="F1" s="1" t="s">
        <v>125</v>
      </c>
      <c r="G1" s="1" t="s">
        <v>124</v>
      </c>
      <c r="H1" s="1" t="s">
        <v>123</v>
      </c>
    </row>
    <row r="2" spans="1:14">
      <c r="A2" t="s">
        <v>115</v>
      </c>
      <c r="B2">
        <f>HOUR(A2)</f>
        <v>0</v>
      </c>
      <c r="C2" t="s">
        <v>128</v>
      </c>
      <c r="D2">
        <v>111</v>
      </c>
      <c r="E2">
        <v>80</v>
      </c>
      <c r="H2">
        <v>0.8</v>
      </c>
      <c r="J2" s="3" t="s">
        <v>131</v>
      </c>
      <c r="K2" t="s">
        <v>133</v>
      </c>
      <c r="L2" t="s">
        <v>134</v>
      </c>
      <c r="M2" t="s">
        <v>135</v>
      </c>
      <c r="N2" t="s">
        <v>136</v>
      </c>
    </row>
    <row r="3" spans="1:14">
      <c r="A3" t="s">
        <v>3</v>
      </c>
      <c r="B3">
        <f t="shared" ref="B3:B66" si="0">HOUR(A3)</f>
        <v>6</v>
      </c>
      <c r="C3" t="s">
        <v>128</v>
      </c>
      <c r="D3">
        <v>128</v>
      </c>
      <c r="E3">
        <v>79</v>
      </c>
      <c r="H3">
        <v>0.5</v>
      </c>
      <c r="J3" s="4">
        <v>0</v>
      </c>
      <c r="K3" s="2"/>
      <c r="L3" s="2"/>
      <c r="M3" s="2">
        <v>79.875</v>
      </c>
      <c r="N3" s="2">
        <v>110.5</v>
      </c>
    </row>
    <row r="4" spans="1:14">
      <c r="A4" t="s">
        <v>4</v>
      </c>
      <c r="B4">
        <f t="shared" si="0"/>
        <v>7</v>
      </c>
      <c r="C4" t="s">
        <v>129</v>
      </c>
      <c r="F4">
        <v>4.37</v>
      </c>
      <c r="H4">
        <v>0.89</v>
      </c>
      <c r="J4" s="4">
        <v>6</v>
      </c>
      <c r="K4" s="2"/>
      <c r="L4" s="2"/>
      <c r="M4" s="2">
        <v>81.375</v>
      </c>
      <c r="N4" s="2">
        <v>113.75</v>
      </c>
    </row>
    <row r="5" spans="1:14">
      <c r="A5" t="s">
        <v>4</v>
      </c>
      <c r="B5">
        <f t="shared" si="0"/>
        <v>7</v>
      </c>
      <c r="C5" t="s">
        <v>130</v>
      </c>
      <c r="G5">
        <v>0.17</v>
      </c>
      <c r="H5">
        <v>0.69</v>
      </c>
      <c r="J5" s="4">
        <v>7</v>
      </c>
      <c r="K5" s="2">
        <v>0.16999999999999998</v>
      </c>
      <c r="L5" s="2">
        <v>4.4824999999999999</v>
      </c>
      <c r="M5" s="2">
        <v>72.375</v>
      </c>
      <c r="N5" s="5">
        <v>131.375</v>
      </c>
    </row>
    <row r="6" spans="1:14">
      <c r="A6" t="s">
        <v>5</v>
      </c>
      <c r="B6">
        <f t="shared" si="0"/>
        <v>7</v>
      </c>
      <c r="C6" t="s">
        <v>128</v>
      </c>
      <c r="D6">
        <v>128</v>
      </c>
      <c r="E6">
        <v>74</v>
      </c>
      <c r="H6">
        <v>0.56999999999999995</v>
      </c>
      <c r="J6" s="4">
        <v>8</v>
      </c>
      <c r="K6" s="2"/>
      <c r="L6" s="5">
        <v>6.8949999999999996</v>
      </c>
      <c r="M6" s="2"/>
      <c r="N6" s="2"/>
    </row>
    <row r="7" spans="1:14">
      <c r="A7" t="s">
        <v>6</v>
      </c>
      <c r="B7">
        <f t="shared" si="0"/>
        <v>8</v>
      </c>
      <c r="C7" t="s">
        <v>129</v>
      </c>
      <c r="F7">
        <v>7.71</v>
      </c>
      <c r="H7">
        <v>0.74</v>
      </c>
      <c r="J7" s="4">
        <v>9</v>
      </c>
      <c r="K7" s="2"/>
      <c r="L7" s="2">
        <v>5.9312499999999995</v>
      </c>
      <c r="M7" s="2"/>
      <c r="N7" s="2"/>
    </row>
    <row r="8" spans="1:14">
      <c r="A8" t="s">
        <v>7</v>
      </c>
      <c r="B8">
        <f t="shared" si="0"/>
        <v>9</v>
      </c>
      <c r="C8" t="s">
        <v>129</v>
      </c>
      <c r="F8">
        <v>6.46</v>
      </c>
      <c r="H8">
        <v>0.7</v>
      </c>
      <c r="J8" s="4">
        <v>10</v>
      </c>
      <c r="K8" s="2"/>
      <c r="L8" s="2"/>
      <c r="M8" s="2">
        <v>72.5</v>
      </c>
      <c r="N8" s="2">
        <v>115.875</v>
      </c>
    </row>
    <row r="9" spans="1:14">
      <c r="A9" t="s">
        <v>8</v>
      </c>
      <c r="B9">
        <f t="shared" si="0"/>
        <v>10</v>
      </c>
      <c r="C9" t="s">
        <v>128</v>
      </c>
      <c r="D9">
        <v>132</v>
      </c>
      <c r="E9">
        <v>67</v>
      </c>
      <c r="H9">
        <v>0.78</v>
      </c>
      <c r="J9" s="4">
        <v>12</v>
      </c>
      <c r="K9" s="2"/>
      <c r="L9" s="2">
        <v>4.6387499999999999</v>
      </c>
      <c r="M9" s="2">
        <v>70.25</v>
      </c>
      <c r="N9" s="2">
        <v>118.75</v>
      </c>
    </row>
    <row r="10" spans="1:14">
      <c r="A10" t="s">
        <v>9</v>
      </c>
      <c r="B10">
        <f t="shared" si="0"/>
        <v>12</v>
      </c>
      <c r="C10" t="s">
        <v>129</v>
      </c>
      <c r="F10">
        <v>4.5999999999999996</v>
      </c>
      <c r="H10">
        <v>0.47</v>
      </c>
      <c r="J10" s="4">
        <v>13</v>
      </c>
      <c r="K10" s="2"/>
      <c r="L10" s="5">
        <v>6.8125</v>
      </c>
      <c r="M10" s="2">
        <v>72.5</v>
      </c>
      <c r="N10" s="2">
        <v>115.375</v>
      </c>
    </row>
    <row r="11" spans="1:14">
      <c r="A11" t="s">
        <v>9</v>
      </c>
      <c r="B11">
        <f t="shared" si="0"/>
        <v>12</v>
      </c>
      <c r="C11" t="s">
        <v>128</v>
      </c>
      <c r="D11">
        <v>110</v>
      </c>
      <c r="E11">
        <v>66</v>
      </c>
      <c r="H11">
        <v>0.99</v>
      </c>
      <c r="J11" s="4">
        <v>14</v>
      </c>
      <c r="K11" s="2"/>
      <c r="L11" s="5">
        <v>6.1987500000000013</v>
      </c>
      <c r="M11" s="2"/>
      <c r="N11" s="2"/>
    </row>
    <row r="12" spans="1:14">
      <c r="A12" t="s">
        <v>10</v>
      </c>
      <c r="B12">
        <f t="shared" si="0"/>
        <v>13</v>
      </c>
      <c r="C12" t="s">
        <v>129</v>
      </c>
      <c r="F12">
        <v>6.28</v>
      </c>
      <c r="H12">
        <v>0.51</v>
      </c>
      <c r="J12" s="4">
        <v>16</v>
      </c>
      <c r="K12" s="2"/>
      <c r="L12" s="2"/>
      <c r="M12" s="2">
        <v>73</v>
      </c>
      <c r="N12" s="2">
        <v>114.5</v>
      </c>
    </row>
    <row r="13" spans="1:14">
      <c r="A13" t="s">
        <v>10</v>
      </c>
      <c r="B13">
        <f t="shared" si="0"/>
        <v>13</v>
      </c>
      <c r="C13" t="s">
        <v>128</v>
      </c>
      <c r="D13">
        <v>108</v>
      </c>
      <c r="E13">
        <v>82</v>
      </c>
      <c r="H13">
        <v>0.99</v>
      </c>
      <c r="J13" s="4">
        <v>18</v>
      </c>
      <c r="K13" s="2"/>
      <c r="L13" s="2">
        <v>4.2712500000000002</v>
      </c>
      <c r="M13" s="2">
        <v>77</v>
      </c>
      <c r="N13" s="2">
        <v>106.875</v>
      </c>
    </row>
    <row r="14" spans="1:14">
      <c r="A14" t="s">
        <v>11</v>
      </c>
      <c r="B14">
        <f t="shared" si="0"/>
        <v>14</v>
      </c>
      <c r="C14" t="s">
        <v>129</v>
      </c>
      <c r="F14">
        <v>5.31</v>
      </c>
      <c r="H14">
        <v>0.41</v>
      </c>
      <c r="J14" s="4">
        <v>19</v>
      </c>
      <c r="K14" s="2"/>
      <c r="L14" s="5">
        <v>6.8087499999999999</v>
      </c>
      <c r="M14" s="2">
        <v>74.375</v>
      </c>
      <c r="N14" s="2">
        <v>110</v>
      </c>
    </row>
    <row r="15" spans="1:14">
      <c r="A15" t="s">
        <v>12</v>
      </c>
      <c r="B15">
        <f t="shared" si="0"/>
        <v>16</v>
      </c>
      <c r="C15" t="s">
        <v>128</v>
      </c>
      <c r="D15">
        <v>100</v>
      </c>
      <c r="E15">
        <v>70</v>
      </c>
      <c r="H15">
        <v>0.95</v>
      </c>
      <c r="J15" s="4">
        <v>20</v>
      </c>
      <c r="K15" s="2"/>
      <c r="L15" s="2">
        <v>5.8325000000000005</v>
      </c>
      <c r="M15" s="2"/>
      <c r="N15" s="2"/>
    </row>
    <row r="16" spans="1:14">
      <c r="A16" t="s">
        <v>13</v>
      </c>
      <c r="B16">
        <f t="shared" si="0"/>
        <v>18</v>
      </c>
      <c r="C16" t="s">
        <v>129</v>
      </c>
      <c r="F16">
        <v>4.0599999999999996</v>
      </c>
      <c r="H16">
        <v>0.97</v>
      </c>
      <c r="J16" s="4">
        <v>22</v>
      </c>
      <c r="K16" s="2"/>
      <c r="L16" s="2">
        <v>4.5887500000000001</v>
      </c>
      <c r="M16" s="2">
        <v>72</v>
      </c>
      <c r="N16" s="2">
        <v>111</v>
      </c>
    </row>
    <row r="17" spans="1:14">
      <c r="A17" t="s">
        <v>13</v>
      </c>
      <c r="B17">
        <f t="shared" si="0"/>
        <v>18</v>
      </c>
      <c r="C17" t="s">
        <v>128</v>
      </c>
      <c r="D17">
        <v>113</v>
      </c>
      <c r="E17">
        <v>80</v>
      </c>
      <c r="H17">
        <v>0.51</v>
      </c>
      <c r="J17" s="4" t="s">
        <v>132</v>
      </c>
      <c r="K17" s="2">
        <v>0.16999999999999998</v>
      </c>
      <c r="L17" s="2">
        <v>5.6459999999999981</v>
      </c>
      <c r="M17" s="2">
        <v>74.525000000000006</v>
      </c>
      <c r="N17" s="2">
        <v>114.8</v>
      </c>
    </row>
    <row r="18" spans="1:14">
      <c r="A18" t="s">
        <v>14</v>
      </c>
      <c r="B18">
        <f t="shared" si="0"/>
        <v>19</v>
      </c>
      <c r="C18" t="s">
        <v>129</v>
      </c>
      <c r="F18">
        <v>7.56</v>
      </c>
      <c r="H18">
        <v>0.54</v>
      </c>
    </row>
    <row r="19" spans="1:14">
      <c r="A19" t="s">
        <v>14</v>
      </c>
      <c r="B19">
        <f t="shared" si="0"/>
        <v>19</v>
      </c>
      <c r="C19" t="s">
        <v>128</v>
      </c>
      <c r="D19">
        <v>125</v>
      </c>
      <c r="E19">
        <v>67</v>
      </c>
      <c r="H19">
        <v>0.39</v>
      </c>
      <c r="J19" s="3" t="s">
        <v>131</v>
      </c>
      <c r="K19" t="s">
        <v>138</v>
      </c>
      <c r="L19" t="s">
        <v>137</v>
      </c>
    </row>
    <row r="20" spans="1:14">
      <c r="A20" t="s">
        <v>15</v>
      </c>
      <c r="B20">
        <f t="shared" si="0"/>
        <v>20</v>
      </c>
      <c r="C20" t="s">
        <v>129</v>
      </c>
      <c r="F20">
        <v>6.2</v>
      </c>
      <c r="H20">
        <v>0.66</v>
      </c>
      <c r="J20" s="4" t="s">
        <v>130</v>
      </c>
      <c r="K20" s="2">
        <v>0.66125</v>
      </c>
      <c r="L20" s="2">
        <v>8</v>
      </c>
    </row>
    <row r="21" spans="1:14">
      <c r="A21" t="s">
        <v>16</v>
      </c>
      <c r="B21">
        <f t="shared" si="0"/>
        <v>22</v>
      </c>
      <c r="C21" t="s">
        <v>129</v>
      </c>
      <c r="F21">
        <v>4.91</v>
      </c>
      <c r="H21">
        <v>0.66</v>
      </c>
      <c r="J21" s="4" t="s">
        <v>128</v>
      </c>
      <c r="K21" s="2">
        <v>0.61924999999999986</v>
      </c>
      <c r="L21" s="2">
        <v>80</v>
      </c>
    </row>
    <row r="22" spans="1:14">
      <c r="A22" t="s">
        <v>16</v>
      </c>
      <c r="B22">
        <f t="shared" si="0"/>
        <v>22</v>
      </c>
      <c r="C22" t="s">
        <v>128</v>
      </c>
      <c r="D22">
        <v>113</v>
      </c>
      <c r="E22">
        <v>62</v>
      </c>
      <c r="H22">
        <v>0.87</v>
      </c>
      <c r="J22" s="4" t="s">
        <v>129</v>
      </c>
      <c r="K22" s="2">
        <v>0.59925000000000028</v>
      </c>
      <c r="L22" s="2">
        <v>80</v>
      </c>
    </row>
    <row r="23" spans="1:14">
      <c r="A23" t="s">
        <v>116</v>
      </c>
      <c r="B23">
        <f t="shared" si="0"/>
        <v>0</v>
      </c>
      <c r="C23" t="s">
        <v>128</v>
      </c>
      <c r="D23">
        <v>105</v>
      </c>
      <c r="E23">
        <v>74</v>
      </c>
      <c r="H23">
        <v>0.28000000000000003</v>
      </c>
      <c r="J23" s="4" t="s">
        <v>132</v>
      </c>
      <c r="K23" s="2">
        <v>0.61172619047619037</v>
      </c>
      <c r="L23" s="2">
        <v>168</v>
      </c>
    </row>
    <row r="24" spans="1:14">
      <c r="A24" t="s">
        <v>17</v>
      </c>
      <c r="B24">
        <f t="shared" si="0"/>
        <v>6</v>
      </c>
      <c r="C24" t="s">
        <v>128</v>
      </c>
      <c r="D24">
        <v>91</v>
      </c>
      <c r="E24">
        <v>83</v>
      </c>
      <c r="H24">
        <v>0.37</v>
      </c>
    </row>
    <row r="25" spans="1:14">
      <c r="A25" t="s">
        <v>18</v>
      </c>
      <c r="B25">
        <f t="shared" si="0"/>
        <v>7</v>
      </c>
      <c r="C25" t="s">
        <v>129</v>
      </c>
      <c r="F25">
        <v>4.0199999999999996</v>
      </c>
      <c r="H25">
        <v>0.8</v>
      </c>
    </row>
    <row r="26" spans="1:14">
      <c r="A26" t="s">
        <v>18</v>
      </c>
      <c r="B26">
        <f t="shared" si="0"/>
        <v>7</v>
      </c>
      <c r="C26" t="s">
        <v>130</v>
      </c>
      <c r="G26">
        <v>0.17</v>
      </c>
      <c r="H26">
        <v>0.65</v>
      </c>
    </row>
    <row r="27" spans="1:14">
      <c r="A27" t="s">
        <v>19</v>
      </c>
      <c r="B27">
        <f t="shared" si="0"/>
        <v>7</v>
      </c>
      <c r="C27" t="s">
        <v>128</v>
      </c>
      <c r="D27">
        <v>143</v>
      </c>
      <c r="E27">
        <v>89</v>
      </c>
      <c r="H27">
        <v>0.23</v>
      </c>
    </row>
    <row r="28" spans="1:14">
      <c r="A28" t="s">
        <v>20</v>
      </c>
      <c r="B28">
        <f t="shared" si="0"/>
        <v>8</v>
      </c>
      <c r="C28" t="s">
        <v>129</v>
      </c>
      <c r="F28">
        <v>7.75</v>
      </c>
      <c r="H28">
        <v>0.86</v>
      </c>
    </row>
    <row r="29" spans="1:14">
      <c r="A29" t="s">
        <v>21</v>
      </c>
      <c r="B29">
        <f t="shared" si="0"/>
        <v>9</v>
      </c>
      <c r="C29" t="s">
        <v>129</v>
      </c>
      <c r="F29">
        <v>6.66</v>
      </c>
      <c r="H29">
        <v>0.51</v>
      </c>
    </row>
    <row r="30" spans="1:14">
      <c r="A30" t="s">
        <v>22</v>
      </c>
      <c r="B30">
        <f t="shared" si="0"/>
        <v>10</v>
      </c>
      <c r="C30" t="s">
        <v>128</v>
      </c>
      <c r="D30">
        <v>127</v>
      </c>
      <c r="E30">
        <v>61</v>
      </c>
      <c r="H30">
        <v>0.56000000000000005</v>
      </c>
    </row>
    <row r="31" spans="1:14">
      <c r="A31" t="s">
        <v>23</v>
      </c>
      <c r="B31">
        <f t="shared" si="0"/>
        <v>12</v>
      </c>
      <c r="C31" t="s">
        <v>129</v>
      </c>
      <c r="F31">
        <v>4.21</v>
      </c>
      <c r="H31">
        <v>0.27</v>
      </c>
    </row>
    <row r="32" spans="1:14">
      <c r="A32" t="s">
        <v>23</v>
      </c>
      <c r="B32">
        <f t="shared" si="0"/>
        <v>12</v>
      </c>
      <c r="C32" t="s">
        <v>128</v>
      </c>
      <c r="D32">
        <v>110</v>
      </c>
      <c r="E32">
        <v>60</v>
      </c>
      <c r="H32">
        <v>0.78</v>
      </c>
    </row>
    <row r="33" spans="1:8">
      <c r="A33" t="s">
        <v>24</v>
      </c>
      <c r="B33">
        <f t="shared" si="0"/>
        <v>13</v>
      </c>
      <c r="C33" t="s">
        <v>129</v>
      </c>
      <c r="F33">
        <v>6.33</v>
      </c>
      <c r="H33">
        <v>0.27</v>
      </c>
    </row>
    <row r="34" spans="1:8">
      <c r="A34" t="s">
        <v>24</v>
      </c>
      <c r="B34">
        <f t="shared" si="0"/>
        <v>13</v>
      </c>
      <c r="C34" t="s">
        <v>128</v>
      </c>
      <c r="D34">
        <v>101</v>
      </c>
      <c r="E34">
        <v>85</v>
      </c>
      <c r="H34">
        <v>0.8</v>
      </c>
    </row>
    <row r="35" spans="1:8">
      <c r="A35" t="s">
        <v>25</v>
      </c>
      <c r="B35">
        <f t="shared" si="0"/>
        <v>14</v>
      </c>
      <c r="C35" t="s">
        <v>129</v>
      </c>
      <c r="F35">
        <v>5.37</v>
      </c>
      <c r="H35">
        <v>0.37</v>
      </c>
    </row>
    <row r="36" spans="1:8">
      <c r="A36" t="s">
        <v>26</v>
      </c>
      <c r="B36">
        <f t="shared" si="0"/>
        <v>16</v>
      </c>
      <c r="C36" t="s">
        <v>128</v>
      </c>
      <c r="D36">
        <v>111</v>
      </c>
      <c r="E36">
        <v>88</v>
      </c>
      <c r="H36">
        <v>0.33</v>
      </c>
    </row>
    <row r="37" spans="1:8">
      <c r="A37" t="s">
        <v>27</v>
      </c>
      <c r="B37">
        <f t="shared" si="0"/>
        <v>18</v>
      </c>
      <c r="C37" t="s">
        <v>129</v>
      </c>
      <c r="F37">
        <v>4.3</v>
      </c>
      <c r="H37">
        <v>0.64</v>
      </c>
    </row>
    <row r="38" spans="1:8">
      <c r="A38" t="s">
        <v>27</v>
      </c>
      <c r="B38">
        <f t="shared" si="0"/>
        <v>18</v>
      </c>
      <c r="C38" t="s">
        <v>128</v>
      </c>
      <c r="D38">
        <v>133</v>
      </c>
      <c r="E38">
        <v>84</v>
      </c>
      <c r="H38">
        <v>0.85</v>
      </c>
    </row>
    <row r="39" spans="1:8">
      <c r="A39" t="s">
        <v>28</v>
      </c>
      <c r="B39">
        <f t="shared" si="0"/>
        <v>19</v>
      </c>
      <c r="C39" t="s">
        <v>129</v>
      </c>
      <c r="F39">
        <v>6.94</v>
      </c>
      <c r="H39">
        <v>0.28000000000000003</v>
      </c>
    </row>
    <row r="40" spans="1:8">
      <c r="A40" t="s">
        <v>28</v>
      </c>
      <c r="B40">
        <f t="shared" si="0"/>
        <v>19</v>
      </c>
      <c r="C40" t="s">
        <v>128</v>
      </c>
      <c r="D40">
        <v>138</v>
      </c>
      <c r="E40">
        <v>86</v>
      </c>
      <c r="H40">
        <v>0.94</v>
      </c>
    </row>
    <row r="41" spans="1:8">
      <c r="A41" t="s">
        <v>29</v>
      </c>
      <c r="B41">
        <f t="shared" si="0"/>
        <v>20</v>
      </c>
      <c r="C41" t="s">
        <v>129</v>
      </c>
      <c r="F41">
        <v>5.86</v>
      </c>
      <c r="H41">
        <v>0.32</v>
      </c>
    </row>
    <row r="42" spans="1:8">
      <c r="A42" t="s">
        <v>30</v>
      </c>
      <c r="B42">
        <f t="shared" si="0"/>
        <v>22</v>
      </c>
      <c r="C42" t="s">
        <v>129</v>
      </c>
      <c r="F42">
        <v>4.49</v>
      </c>
      <c r="H42">
        <v>0.67</v>
      </c>
    </row>
    <row r="43" spans="1:8">
      <c r="A43" t="s">
        <v>30</v>
      </c>
      <c r="B43">
        <f t="shared" si="0"/>
        <v>22</v>
      </c>
      <c r="C43" t="s">
        <v>128</v>
      </c>
      <c r="D43">
        <v>131</v>
      </c>
      <c r="E43">
        <v>87</v>
      </c>
      <c r="H43">
        <v>0.88</v>
      </c>
    </row>
    <row r="44" spans="1:8">
      <c r="A44" t="s">
        <v>117</v>
      </c>
      <c r="B44">
        <f t="shared" si="0"/>
        <v>0</v>
      </c>
      <c r="C44" t="s">
        <v>128</v>
      </c>
      <c r="D44">
        <v>91</v>
      </c>
      <c r="E44">
        <v>79</v>
      </c>
      <c r="H44">
        <v>0.41</v>
      </c>
    </row>
    <row r="45" spans="1:8">
      <c r="A45" t="s">
        <v>31</v>
      </c>
      <c r="B45">
        <f t="shared" si="0"/>
        <v>6</v>
      </c>
      <c r="C45" t="s">
        <v>128</v>
      </c>
      <c r="D45">
        <v>136</v>
      </c>
      <c r="E45">
        <v>89</v>
      </c>
      <c r="H45">
        <v>0.65</v>
      </c>
    </row>
    <row r="46" spans="1:8">
      <c r="A46" t="s">
        <v>32</v>
      </c>
      <c r="B46">
        <f t="shared" si="0"/>
        <v>7</v>
      </c>
      <c r="C46" t="s">
        <v>129</v>
      </c>
      <c r="F46">
        <v>4.6100000000000003</v>
      </c>
      <c r="H46">
        <v>0.59</v>
      </c>
    </row>
    <row r="47" spans="1:8">
      <c r="A47" t="s">
        <v>32</v>
      </c>
      <c r="B47">
        <f t="shared" si="0"/>
        <v>7</v>
      </c>
      <c r="C47" t="s">
        <v>130</v>
      </c>
      <c r="G47">
        <v>0.17</v>
      </c>
      <c r="H47">
        <v>0.68</v>
      </c>
    </row>
    <row r="48" spans="1:8">
      <c r="A48" t="s">
        <v>33</v>
      </c>
      <c r="B48">
        <f t="shared" si="0"/>
        <v>7</v>
      </c>
      <c r="C48" t="s">
        <v>128</v>
      </c>
      <c r="D48">
        <v>150</v>
      </c>
      <c r="E48">
        <v>71</v>
      </c>
      <c r="H48">
        <v>0.6</v>
      </c>
    </row>
    <row r="49" spans="1:8">
      <c r="A49" t="s">
        <v>34</v>
      </c>
      <c r="B49">
        <f t="shared" si="0"/>
        <v>8</v>
      </c>
      <c r="C49" t="s">
        <v>129</v>
      </c>
      <c r="F49">
        <v>6.25</v>
      </c>
      <c r="H49">
        <v>0.76</v>
      </c>
    </row>
    <row r="50" spans="1:8">
      <c r="A50" t="s">
        <v>35</v>
      </c>
      <c r="B50">
        <f t="shared" si="0"/>
        <v>9</v>
      </c>
      <c r="C50" t="s">
        <v>129</v>
      </c>
      <c r="F50">
        <v>5.58</v>
      </c>
      <c r="H50">
        <v>0.46</v>
      </c>
    </row>
    <row r="51" spans="1:8">
      <c r="A51" t="s">
        <v>36</v>
      </c>
      <c r="B51">
        <f t="shared" si="0"/>
        <v>10</v>
      </c>
      <c r="C51" t="s">
        <v>128</v>
      </c>
      <c r="D51">
        <v>92</v>
      </c>
      <c r="E51">
        <v>64</v>
      </c>
      <c r="H51">
        <v>0.61</v>
      </c>
    </row>
    <row r="52" spans="1:8">
      <c r="A52" t="s">
        <v>37</v>
      </c>
      <c r="B52">
        <f t="shared" si="0"/>
        <v>12</v>
      </c>
      <c r="C52" t="s">
        <v>129</v>
      </c>
      <c r="F52">
        <v>4.37</v>
      </c>
      <c r="H52">
        <v>0.52</v>
      </c>
    </row>
    <row r="53" spans="1:8">
      <c r="A53" t="s">
        <v>37</v>
      </c>
      <c r="B53">
        <f t="shared" si="0"/>
        <v>12</v>
      </c>
      <c r="C53" t="s">
        <v>128</v>
      </c>
      <c r="D53">
        <v>140</v>
      </c>
      <c r="E53">
        <v>66</v>
      </c>
      <c r="H53">
        <v>0.53</v>
      </c>
    </row>
    <row r="54" spans="1:8">
      <c r="A54" t="s">
        <v>38</v>
      </c>
      <c r="B54">
        <f t="shared" si="0"/>
        <v>13</v>
      </c>
      <c r="C54" t="s">
        <v>129</v>
      </c>
      <c r="F54">
        <v>6.82</v>
      </c>
      <c r="H54">
        <v>0.79</v>
      </c>
    </row>
    <row r="55" spans="1:8">
      <c r="A55" t="s">
        <v>38</v>
      </c>
      <c r="B55">
        <f t="shared" si="0"/>
        <v>13</v>
      </c>
      <c r="C55" t="s">
        <v>128</v>
      </c>
      <c r="D55">
        <v>110</v>
      </c>
      <c r="E55">
        <v>68</v>
      </c>
      <c r="H55">
        <v>0.44</v>
      </c>
    </row>
    <row r="56" spans="1:8">
      <c r="A56" t="s">
        <v>39</v>
      </c>
      <c r="B56">
        <f t="shared" si="0"/>
        <v>14</v>
      </c>
      <c r="C56" t="s">
        <v>129</v>
      </c>
      <c r="F56">
        <v>6.57</v>
      </c>
      <c r="H56">
        <v>0.8</v>
      </c>
    </row>
    <row r="57" spans="1:8">
      <c r="A57" t="s">
        <v>40</v>
      </c>
      <c r="B57">
        <f t="shared" si="0"/>
        <v>16</v>
      </c>
      <c r="C57" t="s">
        <v>128</v>
      </c>
      <c r="D57">
        <v>128</v>
      </c>
      <c r="E57">
        <v>77</v>
      </c>
      <c r="H57">
        <v>0.45</v>
      </c>
    </row>
    <row r="58" spans="1:8">
      <c r="A58" t="s">
        <v>41</v>
      </c>
      <c r="B58">
        <f t="shared" si="0"/>
        <v>18</v>
      </c>
      <c r="C58" t="s">
        <v>129</v>
      </c>
      <c r="F58">
        <v>4.2</v>
      </c>
      <c r="H58">
        <v>0.62</v>
      </c>
    </row>
    <row r="59" spans="1:8">
      <c r="A59" t="s">
        <v>41</v>
      </c>
      <c r="B59">
        <f t="shared" si="0"/>
        <v>18</v>
      </c>
      <c r="C59" t="s">
        <v>128</v>
      </c>
      <c r="D59">
        <v>93</v>
      </c>
      <c r="E59">
        <v>84</v>
      </c>
      <c r="H59">
        <v>0.61</v>
      </c>
    </row>
    <row r="60" spans="1:8">
      <c r="A60" t="s">
        <v>42</v>
      </c>
      <c r="B60">
        <f t="shared" si="0"/>
        <v>19</v>
      </c>
      <c r="C60" t="s">
        <v>129</v>
      </c>
      <c r="F60">
        <v>6.93</v>
      </c>
      <c r="H60">
        <v>0.94</v>
      </c>
    </row>
    <row r="61" spans="1:8">
      <c r="A61" t="s">
        <v>42</v>
      </c>
      <c r="B61">
        <f t="shared" si="0"/>
        <v>19</v>
      </c>
      <c r="C61" t="s">
        <v>128</v>
      </c>
      <c r="D61">
        <v>103</v>
      </c>
      <c r="E61">
        <v>77</v>
      </c>
      <c r="H61">
        <v>0.65</v>
      </c>
    </row>
    <row r="62" spans="1:8">
      <c r="A62" t="s">
        <v>43</v>
      </c>
      <c r="B62">
        <f t="shared" si="0"/>
        <v>20</v>
      </c>
      <c r="C62" t="s">
        <v>129</v>
      </c>
      <c r="F62">
        <v>6.18</v>
      </c>
      <c r="H62">
        <v>0.76</v>
      </c>
    </row>
    <row r="63" spans="1:8">
      <c r="A63" t="s">
        <v>44</v>
      </c>
      <c r="B63">
        <f t="shared" si="0"/>
        <v>22</v>
      </c>
      <c r="C63" t="s">
        <v>129</v>
      </c>
      <c r="F63">
        <v>4.25</v>
      </c>
      <c r="H63">
        <v>0.51</v>
      </c>
    </row>
    <row r="64" spans="1:8">
      <c r="A64" t="s">
        <v>44</v>
      </c>
      <c r="B64">
        <f t="shared" si="0"/>
        <v>22</v>
      </c>
      <c r="C64" t="s">
        <v>128</v>
      </c>
      <c r="D64">
        <v>98</v>
      </c>
      <c r="E64">
        <v>85</v>
      </c>
      <c r="H64">
        <v>0.4</v>
      </c>
    </row>
    <row r="65" spans="1:8">
      <c r="A65" t="s">
        <v>118</v>
      </c>
      <c r="B65">
        <f t="shared" si="0"/>
        <v>0</v>
      </c>
      <c r="C65" t="s">
        <v>128</v>
      </c>
      <c r="D65">
        <v>118</v>
      </c>
      <c r="E65">
        <v>90</v>
      </c>
      <c r="H65">
        <v>0.62</v>
      </c>
    </row>
    <row r="66" spans="1:8">
      <c r="A66" t="s">
        <v>45</v>
      </c>
      <c r="B66">
        <f t="shared" si="0"/>
        <v>6</v>
      </c>
      <c r="C66" t="s">
        <v>128</v>
      </c>
      <c r="D66">
        <v>117</v>
      </c>
      <c r="E66">
        <v>74</v>
      </c>
      <c r="H66">
        <v>0.53</v>
      </c>
    </row>
    <row r="67" spans="1:8">
      <c r="A67" t="s">
        <v>46</v>
      </c>
      <c r="B67">
        <f t="shared" ref="B67:B130" si="1">HOUR(A67)</f>
        <v>7</v>
      </c>
      <c r="C67" t="s">
        <v>129</v>
      </c>
      <c r="F67">
        <v>4.6100000000000003</v>
      </c>
      <c r="H67">
        <v>0.42</v>
      </c>
    </row>
    <row r="68" spans="1:8">
      <c r="A68" t="s">
        <v>46</v>
      </c>
      <c r="B68">
        <f t="shared" si="1"/>
        <v>7</v>
      </c>
      <c r="C68" t="s">
        <v>130</v>
      </c>
      <c r="G68">
        <v>0.17</v>
      </c>
      <c r="H68">
        <v>0.64</v>
      </c>
    </row>
    <row r="69" spans="1:8">
      <c r="A69" t="s">
        <v>47</v>
      </c>
      <c r="B69">
        <f t="shared" si="1"/>
        <v>7</v>
      </c>
      <c r="C69" t="s">
        <v>128</v>
      </c>
      <c r="D69">
        <v>106</v>
      </c>
      <c r="E69">
        <v>71</v>
      </c>
      <c r="H69">
        <v>0.62</v>
      </c>
    </row>
    <row r="70" spans="1:8">
      <c r="A70" t="s">
        <v>48</v>
      </c>
      <c r="B70">
        <f t="shared" si="1"/>
        <v>8</v>
      </c>
      <c r="C70" t="s">
        <v>129</v>
      </c>
      <c r="F70">
        <v>6.31</v>
      </c>
      <c r="H70">
        <v>0.48</v>
      </c>
    </row>
    <row r="71" spans="1:8">
      <c r="A71" t="s">
        <v>49</v>
      </c>
      <c r="B71">
        <f t="shared" si="1"/>
        <v>9</v>
      </c>
      <c r="C71" t="s">
        <v>129</v>
      </c>
      <c r="F71">
        <v>5.13</v>
      </c>
      <c r="H71">
        <v>0.98</v>
      </c>
    </row>
    <row r="72" spans="1:8">
      <c r="A72" t="s">
        <v>50</v>
      </c>
      <c r="B72">
        <f t="shared" si="1"/>
        <v>10</v>
      </c>
      <c r="C72" t="s">
        <v>128</v>
      </c>
      <c r="D72">
        <v>97</v>
      </c>
      <c r="E72">
        <v>74</v>
      </c>
      <c r="H72">
        <v>0.64</v>
      </c>
    </row>
    <row r="73" spans="1:8">
      <c r="A73" t="s">
        <v>51</v>
      </c>
      <c r="B73">
        <f t="shared" si="1"/>
        <v>12</v>
      </c>
      <c r="C73" t="s">
        <v>129</v>
      </c>
      <c r="F73">
        <v>4.95</v>
      </c>
      <c r="H73">
        <v>0.63</v>
      </c>
    </row>
    <row r="74" spans="1:8">
      <c r="A74" t="s">
        <v>51</v>
      </c>
      <c r="B74">
        <f t="shared" si="1"/>
        <v>12</v>
      </c>
      <c r="C74" t="s">
        <v>128</v>
      </c>
      <c r="D74">
        <v>124</v>
      </c>
      <c r="E74">
        <v>73</v>
      </c>
      <c r="H74">
        <v>0.49</v>
      </c>
    </row>
    <row r="75" spans="1:8">
      <c r="A75" t="s">
        <v>52</v>
      </c>
      <c r="B75">
        <f t="shared" si="1"/>
        <v>13</v>
      </c>
      <c r="C75" t="s">
        <v>129</v>
      </c>
      <c r="F75">
        <v>7.74</v>
      </c>
      <c r="H75">
        <v>0.69</v>
      </c>
    </row>
    <row r="76" spans="1:8">
      <c r="A76" t="s">
        <v>52</v>
      </c>
      <c r="B76">
        <f t="shared" si="1"/>
        <v>13</v>
      </c>
      <c r="C76" t="s">
        <v>128</v>
      </c>
      <c r="D76">
        <v>106</v>
      </c>
      <c r="E76">
        <v>63</v>
      </c>
      <c r="H76">
        <v>0.71</v>
      </c>
    </row>
    <row r="77" spans="1:8">
      <c r="A77" t="s">
        <v>53</v>
      </c>
      <c r="B77">
        <f t="shared" si="1"/>
        <v>14</v>
      </c>
      <c r="C77" t="s">
        <v>129</v>
      </c>
      <c r="F77">
        <v>6.62</v>
      </c>
      <c r="H77">
        <v>0.95</v>
      </c>
    </row>
    <row r="78" spans="1:8">
      <c r="A78" t="s">
        <v>54</v>
      </c>
      <c r="B78">
        <f t="shared" si="1"/>
        <v>16</v>
      </c>
      <c r="C78" t="s">
        <v>128</v>
      </c>
      <c r="D78">
        <v>139</v>
      </c>
      <c r="E78">
        <v>67</v>
      </c>
      <c r="H78">
        <v>0.89</v>
      </c>
    </row>
    <row r="79" spans="1:8">
      <c r="A79" t="s">
        <v>55</v>
      </c>
      <c r="B79">
        <f t="shared" si="1"/>
        <v>18</v>
      </c>
      <c r="C79" t="s">
        <v>129</v>
      </c>
      <c r="F79">
        <v>4.3</v>
      </c>
      <c r="H79">
        <v>0.22</v>
      </c>
    </row>
    <row r="80" spans="1:8">
      <c r="A80" t="s">
        <v>55</v>
      </c>
      <c r="B80">
        <f t="shared" si="1"/>
        <v>18</v>
      </c>
      <c r="C80" t="s">
        <v>128</v>
      </c>
      <c r="D80">
        <v>93</v>
      </c>
      <c r="E80">
        <v>61</v>
      </c>
      <c r="H80">
        <v>0.77</v>
      </c>
    </row>
    <row r="81" spans="1:8">
      <c r="A81" t="s">
        <v>56</v>
      </c>
      <c r="B81">
        <f t="shared" si="1"/>
        <v>19</v>
      </c>
      <c r="C81" t="s">
        <v>129</v>
      </c>
      <c r="F81">
        <v>6.18</v>
      </c>
      <c r="H81">
        <v>0.8</v>
      </c>
    </row>
    <row r="82" spans="1:8">
      <c r="A82" t="s">
        <v>56</v>
      </c>
      <c r="B82">
        <f t="shared" si="1"/>
        <v>19</v>
      </c>
      <c r="C82" t="s">
        <v>128</v>
      </c>
      <c r="D82">
        <v>95</v>
      </c>
      <c r="E82">
        <v>81</v>
      </c>
      <c r="H82">
        <v>0.95</v>
      </c>
    </row>
    <row r="83" spans="1:8">
      <c r="A83" t="s">
        <v>57</v>
      </c>
      <c r="B83">
        <f t="shared" si="1"/>
        <v>20</v>
      </c>
      <c r="C83" t="s">
        <v>129</v>
      </c>
      <c r="F83">
        <v>6.37</v>
      </c>
      <c r="H83">
        <v>0.23</v>
      </c>
    </row>
    <row r="84" spans="1:8">
      <c r="A84" t="s">
        <v>58</v>
      </c>
      <c r="B84">
        <f t="shared" si="1"/>
        <v>22</v>
      </c>
      <c r="C84" t="s">
        <v>129</v>
      </c>
      <c r="F84">
        <v>4.6399999999999997</v>
      </c>
      <c r="H84">
        <v>0.63</v>
      </c>
    </row>
    <row r="85" spans="1:8">
      <c r="A85" t="s">
        <v>58</v>
      </c>
      <c r="B85">
        <f t="shared" si="1"/>
        <v>22</v>
      </c>
      <c r="C85" t="s">
        <v>128</v>
      </c>
      <c r="D85">
        <v>131</v>
      </c>
      <c r="E85">
        <v>63</v>
      </c>
      <c r="H85">
        <v>0.73</v>
      </c>
    </row>
    <row r="86" spans="1:8">
      <c r="A86" t="s">
        <v>119</v>
      </c>
      <c r="B86">
        <f t="shared" si="1"/>
        <v>0</v>
      </c>
      <c r="C86" t="s">
        <v>128</v>
      </c>
      <c r="D86">
        <v>107</v>
      </c>
      <c r="E86">
        <v>74</v>
      </c>
      <c r="H86">
        <v>0.63</v>
      </c>
    </row>
    <row r="87" spans="1:8">
      <c r="A87" t="s">
        <v>59</v>
      </c>
      <c r="B87">
        <f t="shared" si="1"/>
        <v>6</v>
      </c>
      <c r="C87" t="s">
        <v>128</v>
      </c>
      <c r="D87">
        <v>107</v>
      </c>
      <c r="E87">
        <v>85</v>
      </c>
      <c r="H87">
        <v>0.92</v>
      </c>
    </row>
    <row r="88" spans="1:8">
      <c r="A88" t="s">
        <v>60</v>
      </c>
      <c r="B88">
        <f t="shared" si="1"/>
        <v>7</v>
      </c>
      <c r="C88" t="s">
        <v>129</v>
      </c>
      <c r="F88">
        <v>4.12</v>
      </c>
      <c r="H88">
        <v>0.78</v>
      </c>
    </row>
    <row r="89" spans="1:8">
      <c r="A89" t="s">
        <v>60</v>
      </c>
      <c r="B89">
        <f t="shared" si="1"/>
        <v>7</v>
      </c>
      <c r="C89" t="s">
        <v>130</v>
      </c>
      <c r="G89">
        <v>0.17</v>
      </c>
      <c r="H89">
        <v>0.66</v>
      </c>
    </row>
    <row r="90" spans="1:8">
      <c r="A90" t="s">
        <v>61</v>
      </c>
      <c r="B90">
        <f t="shared" si="1"/>
        <v>7</v>
      </c>
      <c r="C90" t="s">
        <v>128</v>
      </c>
      <c r="D90">
        <v>143</v>
      </c>
      <c r="E90">
        <v>61</v>
      </c>
      <c r="H90">
        <v>0.82</v>
      </c>
    </row>
    <row r="91" spans="1:8">
      <c r="A91" t="s">
        <v>62</v>
      </c>
      <c r="B91">
        <f t="shared" si="1"/>
        <v>8</v>
      </c>
      <c r="C91" t="s">
        <v>129</v>
      </c>
      <c r="F91">
        <v>6.89</v>
      </c>
      <c r="H91">
        <v>0.39</v>
      </c>
    </row>
    <row r="92" spans="1:8">
      <c r="A92" t="s">
        <v>63</v>
      </c>
      <c r="B92">
        <f t="shared" si="1"/>
        <v>9</v>
      </c>
      <c r="C92" t="s">
        <v>129</v>
      </c>
      <c r="F92">
        <v>5.07</v>
      </c>
      <c r="H92">
        <v>0.69</v>
      </c>
    </row>
    <row r="93" spans="1:8">
      <c r="A93" t="s">
        <v>64</v>
      </c>
      <c r="B93">
        <f t="shared" si="1"/>
        <v>10</v>
      </c>
      <c r="C93" t="s">
        <v>128</v>
      </c>
      <c r="D93">
        <v>99</v>
      </c>
      <c r="E93">
        <v>89</v>
      </c>
      <c r="H93">
        <v>0.27</v>
      </c>
    </row>
    <row r="94" spans="1:8">
      <c r="A94" t="s">
        <v>65</v>
      </c>
      <c r="B94">
        <f t="shared" si="1"/>
        <v>12</v>
      </c>
      <c r="C94" t="s">
        <v>129</v>
      </c>
      <c r="F94">
        <v>4.91</v>
      </c>
      <c r="H94">
        <v>0.74</v>
      </c>
    </row>
    <row r="95" spans="1:8">
      <c r="A95" t="s">
        <v>65</v>
      </c>
      <c r="B95">
        <f t="shared" si="1"/>
        <v>12</v>
      </c>
      <c r="C95" t="s">
        <v>128</v>
      </c>
      <c r="D95">
        <v>125</v>
      </c>
      <c r="E95">
        <v>73</v>
      </c>
      <c r="H95">
        <v>0.92</v>
      </c>
    </row>
    <row r="96" spans="1:8">
      <c r="A96" t="s">
        <v>66</v>
      </c>
      <c r="B96">
        <f t="shared" si="1"/>
        <v>13</v>
      </c>
      <c r="C96" t="s">
        <v>129</v>
      </c>
      <c r="F96">
        <v>6.47</v>
      </c>
      <c r="H96">
        <v>0.82</v>
      </c>
    </row>
    <row r="97" spans="1:8">
      <c r="A97" t="s">
        <v>66</v>
      </c>
      <c r="B97">
        <f t="shared" si="1"/>
        <v>13</v>
      </c>
      <c r="C97" t="s">
        <v>128</v>
      </c>
      <c r="D97">
        <v>120</v>
      </c>
      <c r="E97">
        <v>75</v>
      </c>
      <c r="H97">
        <v>0.21</v>
      </c>
    </row>
    <row r="98" spans="1:8">
      <c r="A98" t="s">
        <v>67</v>
      </c>
      <c r="B98">
        <f t="shared" si="1"/>
        <v>14</v>
      </c>
      <c r="C98" t="s">
        <v>129</v>
      </c>
      <c r="F98">
        <v>6.33</v>
      </c>
      <c r="H98">
        <v>0.27</v>
      </c>
    </row>
    <row r="99" spans="1:8">
      <c r="A99" t="s">
        <v>68</v>
      </c>
      <c r="B99">
        <f t="shared" si="1"/>
        <v>16</v>
      </c>
      <c r="C99" t="s">
        <v>128</v>
      </c>
      <c r="D99">
        <v>104</v>
      </c>
      <c r="E99">
        <v>67</v>
      </c>
      <c r="H99">
        <v>0.2</v>
      </c>
    </row>
    <row r="100" spans="1:8">
      <c r="A100" t="s">
        <v>69</v>
      </c>
      <c r="B100">
        <f t="shared" si="1"/>
        <v>18</v>
      </c>
      <c r="C100" t="s">
        <v>129</v>
      </c>
      <c r="F100">
        <v>4.3099999999999996</v>
      </c>
      <c r="H100">
        <v>0.76</v>
      </c>
    </row>
    <row r="101" spans="1:8">
      <c r="A101" t="s">
        <v>69</v>
      </c>
      <c r="B101">
        <f t="shared" si="1"/>
        <v>18</v>
      </c>
      <c r="C101" t="s">
        <v>128</v>
      </c>
      <c r="D101">
        <v>103</v>
      </c>
      <c r="E101">
        <v>82</v>
      </c>
      <c r="H101">
        <v>0.64</v>
      </c>
    </row>
    <row r="102" spans="1:8">
      <c r="A102" t="s">
        <v>70</v>
      </c>
      <c r="B102">
        <f t="shared" si="1"/>
        <v>19</v>
      </c>
      <c r="C102" t="s">
        <v>129</v>
      </c>
      <c r="F102">
        <v>6.94</v>
      </c>
      <c r="H102">
        <v>0.71</v>
      </c>
    </row>
    <row r="103" spans="1:8">
      <c r="A103" t="s">
        <v>70</v>
      </c>
      <c r="B103">
        <f t="shared" si="1"/>
        <v>19</v>
      </c>
      <c r="C103" t="s">
        <v>128</v>
      </c>
      <c r="D103">
        <v>129</v>
      </c>
      <c r="E103">
        <v>80</v>
      </c>
      <c r="H103">
        <v>0.38</v>
      </c>
    </row>
    <row r="104" spans="1:8">
      <c r="A104" t="s">
        <v>71</v>
      </c>
      <c r="B104">
        <f t="shared" si="1"/>
        <v>20</v>
      </c>
      <c r="C104" t="s">
        <v>129</v>
      </c>
      <c r="F104">
        <v>6.09</v>
      </c>
      <c r="H104">
        <v>0.93</v>
      </c>
    </row>
    <row r="105" spans="1:8">
      <c r="A105" t="s">
        <v>72</v>
      </c>
      <c r="B105">
        <f t="shared" si="1"/>
        <v>22</v>
      </c>
      <c r="C105" t="s">
        <v>129</v>
      </c>
      <c r="F105">
        <v>4.38</v>
      </c>
      <c r="H105">
        <v>0.76</v>
      </c>
    </row>
    <row r="106" spans="1:8">
      <c r="A106" t="s">
        <v>72</v>
      </c>
      <c r="B106">
        <f t="shared" si="1"/>
        <v>22</v>
      </c>
      <c r="C106" t="s">
        <v>128</v>
      </c>
      <c r="D106">
        <v>105</v>
      </c>
      <c r="E106">
        <v>72</v>
      </c>
      <c r="H106">
        <v>0.49</v>
      </c>
    </row>
    <row r="107" spans="1:8">
      <c r="A107" t="s">
        <v>120</v>
      </c>
      <c r="B107">
        <f t="shared" si="1"/>
        <v>0</v>
      </c>
      <c r="C107" t="s">
        <v>128</v>
      </c>
      <c r="D107">
        <v>100</v>
      </c>
      <c r="E107">
        <v>78</v>
      </c>
      <c r="H107">
        <v>0.88</v>
      </c>
    </row>
    <row r="108" spans="1:8">
      <c r="A108" t="s">
        <v>73</v>
      </c>
      <c r="B108">
        <f t="shared" si="1"/>
        <v>6</v>
      </c>
      <c r="C108" t="s">
        <v>128</v>
      </c>
      <c r="D108">
        <v>113</v>
      </c>
      <c r="E108">
        <v>85</v>
      </c>
      <c r="H108">
        <v>0.92</v>
      </c>
    </row>
    <row r="109" spans="1:8">
      <c r="A109" t="s">
        <v>74</v>
      </c>
      <c r="B109">
        <f t="shared" si="1"/>
        <v>7</v>
      </c>
      <c r="C109" t="s">
        <v>129</v>
      </c>
      <c r="F109">
        <v>4.97</v>
      </c>
      <c r="H109">
        <v>0.56999999999999995</v>
      </c>
    </row>
    <row r="110" spans="1:8">
      <c r="A110" t="s">
        <v>74</v>
      </c>
      <c r="B110">
        <f t="shared" si="1"/>
        <v>7</v>
      </c>
      <c r="C110" t="s">
        <v>130</v>
      </c>
      <c r="G110">
        <v>0.17</v>
      </c>
      <c r="H110">
        <v>0.63</v>
      </c>
    </row>
    <row r="111" spans="1:8">
      <c r="A111" t="s">
        <v>75</v>
      </c>
      <c r="B111">
        <f t="shared" si="1"/>
        <v>7</v>
      </c>
      <c r="C111" t="s">
        <v>128</v>
      </c>
      <c r="D111">
        <v>124</v>
      </c>
      <c r="E111">
        <v>87</v>
      </c>
      <c r="H111">
        <v>0.36</v>
      </c>
    </row>
    <row r="112" spans="1:8">
      <c r="A112" t="s">
        <v>76</v>
      </c>
      <c r="B112">
        <f t="shared" si="1"/>
        <v>8</v>
      </c>
      <c r="C112" t="s">
        <v>129</v>
      </c>
      <c r="F112">
        <v>7.4</v>
      </c>
      <c r="H112">
        <v>0.59</v>
      </c>
    </row>
    <row r="113" spans="1:8">
      <c r="A113" t="s">
        <v>77</v>
      </c>
      <c r="B113">
        <f t="shared" si="1"/>
        <v>9</v>
      </c>
      <c r="C113" t="s">
        <v>129</v>
      </c>
      <c r="F113">
        <v>6.88</v>
      </c>
      <c r="H113">
        <v>0.76</v>
      </c>
    </row>
    <row r="114" spans="1:8">
      <c r="A114" t="s">
        <v>78</v>
      </c>
      <c r="B114">
        <f t="shared" si="1"/>
        <v>10</v>
      </c>
      <c r="C114" t="s">
        <v>128</v>
      </c>
      <c r="D114">
        <v>134</v>
      </c>
      <c r="E114">
        <v>68</v>
      </c>
      <c r="H114">
        <v>0.23</v>
      </c>
    </row>
    <row r="115" spans="1:8">
      <c r="A115" t="s">
        <v>79</v>
      </c>
      <c r="B115">
        <f t="shared" si="1"/>
        <v>12</v>
      </c>
      <c r="C115" t="s">
        <v>129</v>
      </c>
      <c r="F115">
        <v>4.8899999999999997</v>
      </c>
      <c r="H115">
        <v>0.76</v>
      </c>
    </row>
    <row r="116" spans="1:8">
      <c r="A116" t="s">
        <v>79</v>
      </c>
      <c r="B116">
        <f t="shared" si="1"/>
        <v>12</v>
      </c>
      <c r="C116" t="s">
        <v>128</v>
      </c>
      <c r="D116">
        <v>118</v>
      </c>
      <c r="E116">
        <v>74</v>
      </c>
      <c r="H116">
        <v>0.57999999999999996</v>
      </c>
    </row>
    <row r="117" spans="1:8">
      <c r="A117" t="s">
        <v>80</v>
      </c>
      <c r="B117">
        <f t="shared" si="1"/>
        <v>13</v>
      </c>
      <c r="C117" t="s">
        <v>129</v>
      </c>
      <c r="F117">
        <v>7.08</v>
      </c>
      <c r="H117">
        <v>0.48</v>
      </c>
    </row>
    <row r="118" spans="1:8">
      <c r="A118" t="s">
        <v>80</v>
      </c>
      <c r="B118">
        <f t="shared" si="1"/>
        <v>13</v>
      </c>
      <c r="C118" t="s">
        <v>128</v>
      </c>
      <c r="D118">
        <v>134</v>
      </c>
      <c r="E118">
        <v>60</v>
      </c>
      <c r="H118">
        <v>0.8</v>
      </c>
    </row>
    <row r="119" spans="1:8">
      <c r="A119" t="s">
        <v>81</v>
      </c>
      <c r="B119">
        <f t="shared" si="1"/>
        <v>14</v>
      </c>
      <c r="C119" t="s">
        <v>129</v>
      </c>
      <c r="F119">
        <v>6.84</v>
      </c>
      <c r="H119">
        <v>0.63</v>
      </c>
    </row>
    <row r="120" spans="1:8">
      <c r="A120" t="s">
        <v>82</v>
      </c>
      <c r="B120">
        <f t="shared" si="1"/>
        <v>16</v>
      </c>
      <c r="C120" t="s">
        <v>128</v>
      </c>
      <c r="D120">
        <v>114</v>
      </c>
      <c r="E120">
        <v>66</v>
      </c>
      <c r="H120">
        <v>0.98</v>
      </c>
    </row>
    <row r="121" spans="1:8">
      <c r="A121" t="s">
        <v>83</v>
      </c>
      <c r="B121">
        <f t="shared" si="1"/>
        <v>18</v>
      </c>
      <c r="C121" t="s">
        <v>129</v>
      </c>
      <c r="F121">
        <v>4.09</v>
      </c>
      <c r="H121">
        <v>0.3</v>
      </c>
    </row>
    <row r="122" spans="1:8">
      <c r="A122" t="s">
        <v>83</v>
      </c>
      <c r="B122">
        <f t="shared" si="1"/>
        <v>18</v>
      </c>
      <c r="C122" t="s">
        <v>128</v>
      </c>
      <c r="D122">
        <v>98</v>
      </c>
      <c r="E122">
        <v>83</v>
      </c>
      <c r="H122">
        <v>0.35</v>
      </c>
    </row>
    <row r="123" spans="1:8">
      <c r="A123" t="s">
        <v>84</v>
      </c>
      <c r="B123">
        <f t="shared" si="1"/>
        <v>19</v>
      </c>
      <c r="C123" t="s">
        <v>129</v>
      </c>
      <c r="F123">
        <v>6.35</v>
      </c>
      <c r="H123">
        <v>0.27</v>
      </c>
    </row>
    <row r="124" spans="1:8">
      <c r="A124" t="s">
        <v>84</v>
      </c>
      <c r="B124">
        <f t="shared" si="1"/>
        <v>19</v>
      </c>
      <c r="C124" t="s">
        <v>128</v>
      </c>
      <c r="D124">
        <v>90</v>
      </c>
      <c r="E124">
        <v>71</v>
      </c>
      <c r="H124">
        <v>0.94</v>
      </c>
    </row>
    <row r="125" spans="1:8">
      <c r="A125" t="s">
        <v>85</v>
      </c>
      <c r="B125">
        <f t="shared" si="1"/>
        <v>20</v>
      </c>
      <c r="C125" t="s">
        <v>129</v>
      </c>
      <c r="F125">
        <v>5.09</v>
      </c>
      <c r="H125">
        <v>0.8</v>
      </c>
    </row>
    <row r="126" spans="1:8">
      <c r="A126" t="s">
        <v>86</v>
      </c>
      <c r="B126">
        <f t="shared" si="1"/>
        <v>22</v>
      </c>
      <c r="C126" t="s">
        <v>129</v>
      </c>
      <c r="F126">
        <v>4.53</v>
      </c>
      <c r="H126">
        <v>0.39</v>
      </c>
    </row>
    <row r="127" spans="1:8">
      <c r="A127" t="s">
        <v>86</v>
      </c>
      <c r="B127">
        <f t="shared" si="1"/>
        <v>22</v>
      </c>
      <c r="C127" t="s">
        <v>128</v>
      </c>
      <c r="D127">
        <v>97</v>
      </c>
      <c r="E127">
        <v>83</v>
      </c>
      <c r="H127">
        <v>0.37</v>
      </c>
    </row>
    <row r="128" spans="1:8">
      <c r="A128" t="s">
        <v>121</v>
      </c>
      <c r="B128">
        <f t="shared" si="1"/>
        <v>0</v>
      </c>
      <c r="C128" t="s">
        <v>128</v>
      </c>
      <c r="D128">
        <v>137</v>
      </c>
      <c r="E128">
        <v>82</v>
      </c>
      <c r="H128">
        <v>0.63</v>
      </c>
    </row>
    <row r="129" spans="1:8">
      <c r="A129" t="s">
        <v>87</v>
      </c>
      <c r="B129">
        <f t="shared" si="1"/>
        <v>6</v>
      </c>
      <c r="C129" t="s">
        <v>128</v>
      </c>
      <c r="D129">
        <v>106</v>
      </c>
      <c r="E129">
        <v>67</v>
      </c>
      <c r="H129">
        <v>0.69</v>
      </c>
    </row>
    <row r="130" spans="1:8">
      <c r="A130" t="s">
        <v>88</v>
      </c>
      <c r="B130">
        <f t="shared" si="1"/>
        <v>7</v>
      </c>
      <c r="C130" t="s">
        <v>129</v>
      </c>
      <c r="F130">
        <v>4.3899999999999997</v>
      </c>
      <c r="H130">
        <v>0.78</v>
      </c>
    </row>
    <row r="131" spans="1:8">
      <c r="A131" t="s">
        <v>88</v>
      </c>
      <c r="B131">
        <f t="shared" ref="B131:B169" si="2">HOUR(A131)</f>
        <v>7</v>
      </c>
      <c r="C131" t="s">
        <v>130</v>
      </c>
      <c r="G131">
        <v>0.17</v>
      </c>
      <c r="H131">
        <v>0.68</v>
      </c>
    </row>
    <row r="132" spans="1:8">
      <c r="A132" t="s">
        <v>89</v>
      </c>
      <c r="B132">
        <f t="shared" si="2"/>
        <v>7</v>
      </c>
      <c r="C132" t="s">
        <v>128</v>
      </c>
      <c r="D132">
        <v>134</v>
      </c>
      <c r="E132">
        <v>62</v>
      </c>
      <c r="H132">
        <v>0.2</v>
      </c>
    </row>
    <row r="133" spans="1:8">
      <c r="A133" t="s">
        <v>90</v>
      </c>
      <c r="B133">
        <f t="shared" si="2"/>
        <v>8</v>
      </c>
      <c r="C133" t="s">
        <v>129</v>
      </c>
      <c r="F133">
        <v>6.49</v>
      </c>
      <c r="H133">
        <v>0.32</v>
      </c>
    </row>
    <row r="134" spans="1:8">
      <c r="A134" t="s">
        <v>91</v>
      </c>
      <c r="B134">
        <f t="shared" si="2"/>
        <v>9</v>
      </c>
      <c r="C134" t="s">
        <v>129</v>
      </c>
      <c r="F134">
        <v>6.66</v>
      </c>
      <c r="H134">
        <v>0.63</v>
      </c>
    </row>
    <row r="135" spans="1:8">
      <c r="A135" t="s">
        <v>92</v>
      </c>
      <c r="B135">
        <f t="shared" si="2"/>
        <v>10</v>
      </c>
      <c r="C135" t="s">
        <v>128</v>
      </c>
      <c r="D135">
        <v>122</v>
      </c>
      <c r="E135">
        <v>86</v>
      </c>
      <c r="H135">
        <v>0.26</v>
      </c>
    </row>
    <row r="136" spans="1:8">
      <c r="A136" t="s">
        <v>93</v>
      </c>
      <c r="B136">
        <f t="shared" si="2"/>
        <v>12</v>
      </c>
      <c r="C136" t="s">
        <v>129</v>
      </c>
      <c r="F136">
        <v>4.3600000000000003</v>
      </c>
      <c r="H136">
        <v>0.65</v>
      </c>
    </row>
    <row r="137" spans="1:8">
      <c r="A137" t="s">
        <v>93</v>
      </c>
      <c r="B137">
        <f t="shared" si="2"/>
        <v>12</v>
      </c>
      <c r="C137" t="s">
        <v>128</v>
      </c>
      <c r="D137">
        <v>94</v>
      </c>
      <c r="E137">
        <v>69</v>
      </c>
      <c r="H137">
        <v>0.91</v>
      </c>
    </row>
    <row r="138" spans="1:8">
      <c r="A138" t="s">
        <v>94</v>
      </c>
      <c r="B138">
        <f t="shared" si="2"/>
        <v>13</v>
      </c>
      <c r="C138" t="s">
        <v>129</v>
      </c>
      <c r="F138">
        <v>6.51</v>
      </c>
      <c r="H138">
        <v>0.57999999999999996</v>
      </c>
    </row>
    <row r="139" spans="1:8">
      <c r="A139" t="s">
        <v>94</v>
      </c>
      <c r="B139">
        <f t="shared" si="2"/>
        <v>13</v>
      </c>
      <c r="C139" t="s">
        <v>128</v>
      </c>
      <c r="D139">
        <v>128</v>
      </c>
      <c r="E139">
        <v>85</v>
      </c>
      <c r="H139">
        <v>0.99</v>
      </c>
    </row>
    <row r="140" spans="1:8">
      <c r="A140" t="s">
        <v>95</v>
      </c>
      <c r="B140">
        <f t="shared" si="2"/>
        <v>14</v>
      </c>
      <c r="C140" t="s">
        <v>129</v>
      </c>
      <c r="F140">
        <v>6.09</v>
      </c>
      <c r="H140">
        <v>0.57999999999999996</v>
      </c>
    </row>
    <row r="141" spans="1:8">
      <c r="A141" t="s">
        <v>96</v>
      </c>
      <c r="B141">
        <f t="shared" si="2"/>
        <v>16</v>
      </c>
      <c r="C141" t="s">
        <v>128</v>
      </c>
      <c r="D141">
        <v>130</v>
      </c>
      <c r="E141">
        <v>87</v>
      </c>
      <c r="H141">
        <v>0.89</v>
      </c>
    </row>
    <row r="142" spans="1:8">
      <c r="A142" t="s">
        <v>97</v>
      </c>
      <c r="B142">
        <f t="shared" si="2"/>
        <v>18</v>
      </c>
      <c r="C142" t="s">
        <v>129</v>
      </c>
      <c r="F142">
        <v>4.1399999999999997</v>
      </c>
      <c r="H142">
        <v>0.65</v>
      </c>
    </row>
    <row r="143" spans="1:8">
      <c r="A143" t="s">
        <v>97</v>
      </c>
      <c r="B143">
        <f t="shared" si="2"/>
        <v>18</v>
      </c>
      <c r="C143" t="s">
        <v>128</v>
      </c>
      <c r="D143">
        <v>96</v>
      </c>
      <c r="E143">
        <v>68</v>
      </c>
      <c r="H143">
        <v>0.82</v>
      </c>
    </row>
    <row r="144" spans="1:8">
      <c r="A144" t="s">
        <v>98</v>
      </c>
      <c r="B144">
        <f t="shared" si="2"/>
        <v>19</v>
      </c>
      <c r="C144" t="s">
        <v>129</v>
      </c>
      <c r="F144">
        <v>7.44</v>
      </c>
      <c r="H144">
        <v>0.47</v>
      </c>
    </row>
    <row r="145" spans="1:8">
      <c r="A145" t="s">
        <v>98</v>
      </c>
      <c r="B145">
        <f t="shared" si="2"/>
        <v>19</v>
      </c>
      <c r="C145" t="s">
        <v>128</v>
      </c>
      <c r="D145">
        <v>97</v>
      </c>
      <c r="E145">
        <v>71</v>
      </c>
      <c r="H145">
        <v>0.7</v>
      </c>
    </row>
    <row r="146" spans="1:8">
      <c r="A146" t="s">
        <v>99</v>
      </c>
      <c r="B146">
        <f t="shared" si="2"/>
        <v>20</v>
      </c>
      <c r="C146" t="s">
        <v>129</v>
      </c>
      <c r="F146">
        <v>5.15</v>
      </c>
      <c r="H146">
        <v>0.4</v>
      </c>
    </row>
    <row r="147" spans="1:8">
      <c r="A147" t="s">
        <v>100</v>
      </c>
      <c r="B147">
        <f t="shared" si="2"/>
        <v>22</v>
      </c>
      <c r="C147" t="s">
        <v>129</v>
      </c>
      <c r="F147">
        <v>5.19</v>
      </c>
      <c r="H147">
        <v>0.49</v>
      </c>
    </row>
    <row r="148" spans="1:8">
      <c r="A148" t="s">
        <v>100</v>
      </c>
      <c r="B148">
        <f t="shared" si="2"/>
        <v>22</v>
      </c>
      <c r="C148" t="s">
        <v>128</v>
      </c>
      <c r="D148">
        <v>123</v>
      </c>
      <c r="E148">
        <v>60</v>
      </c>
      <c r="H148">
        <v>0.24</v>
      </c>
    </row>
    <row r="149" spans="1:8">
      <c r="A149" t="s">
        <v>122</v>
      </c>
      <c r="B149">
        <f t="shared" si="2"/>
        <v>0</v>
      </c>
      <c r="C149" t="s">
        <v>128</v>
      </c>
      <c r="D149">
        <v>115</v>
      </c>
      <c r="E149">
        <v>82</v>
      </c>
      <c r="H149">
        <v>0.69</v>
      </c>
    </row>
    <row r="150" spans="1:8">
      <c r="A150" t="s">
        <v>101</v>
      </c>
      <c r="B150">
        <f t="shared" si="2"/>
        <v>6</v>
      </c>
      <c r="C150" t="s">
        <v>128</v>
      </c>
      <c r="D150">
        <v>112</v>
      </c>
      <c r="E150">
        <v>89</v>
      </c>
      <c r="H150">
        <v>0.46</v>
      </c>
    </row>
    <row r="151" spans="1:8">
      <c r="A151" t="s">
        <v>102</v>
      </c>
      <c r="B151">
        <f t="shared" si="2"/>
        <v>7</v>
      </c>
      <c r="C151" t="s">
        <v>129</v>
      </c>
      <c r="F151">
        <v>4.7699999999999996</v>
      </c>
      <c r="H151">
        <v>0.88</v>
      </c>
    </row>
    <row r="152" spans="1:8">
      <c r="A152" t="s">
        <v>102</v>
      </c>
      <c r="B152">
        <f t="shared" si="2"/>
        <v>7</v>
      </c>
      <c r="C152" t="s">
        <v>130</v>
      </c>
      <c r="G152">
        <v>0.17</v>
      </c>
      <c r="H152">
        <v>0.66</v>
      </c>
    </row>
    <row r="153" spans="1:8">
      <c r="A153" t="s">
        <v>103</v>
      </c>
      <c r="B153">
        <f t="shared" si="2"/>
        <v>7</v>
      </c>
      <c r="C153" t="s">
        <v>128</v>
      </c>
      <c r="D153">
        <v>123</v>
      </c>
      <c r="E153">
        <v>64</v>
      </c>
      <c r="H153">
        <v>0.4</v>
      </c>
    </row>
    <row r="154" spans="1:8">
      <c r="A154" t="s">
        <v>104</v>
      </c>
      <c r="B154">
        <f t="shared" si="2"/>
        <v>8</v>
      </c>
      <c r="C154" t="s">
        <v>129</v>
      </c>
      <c r="F154">
        <v>6.36</v>
      </c>
      <c r="H154">
        <v>0.84</v>
      </c>
    </row>
    <row r="155" spans="1:8">
      <c r="A155" t="s">
        <v>105</v>
      </c>
      <c r="B155">
        <f t="shared" si="2"/>
        <v>9</v>
      </c>
      <c r="C155" t="s">
        <v>129</v>
      </c>
      <c r="F155">
        <v>5.01</v>
      </c>
      <c r="H155">
        <v>0.24</v>
      </c>
    </row>
    <row r="156" spans="1:8">
      <c r="A156" t="s">
        <v>106</v>
      </c>
      <c r="B156">
        <f t="shared" si="2"/>
        <v>10</v>
      </c>
      <c r="C156" t="s">
        <v>128</v>
      </c>
      <c r="D156">
        <v>124</v>
      </c>
      <c r="E156">
        <v>71</v>
      </c>
      <c r="H156">
        <v>0.54</v>
      </c>
    </row>
    <row r="157" spans="1:8">
      <c r="A157" t="s">
        <v>107</v>
      </c>
      <c r="B157">
        <f t="shared" si="2"/>
        <v>12</v>
      </c>
      <c r="C157" t="s">
        <v>129</v>
      </c>
      <c r="F157">
        <v>4.82</v>
      </c>
      <c r="H157">
        <v>0.52</v>
      </c>
    </row>
    <row r="158" spans="1:8">
      <c r="A158" t="s">
        <v>107</v>
      </c>
      <c r="B158">
        <f t="shared" si="2"/>
        <v>12</v>
      </c>
      <c r="C158" t="s">
        <v>128</v>
      </c>
      <c r="D158">
        <v>129</v>
      </c>
      <c r="E158">
        <v>81</v>
      </c>
      <c r="H158">
        <v>0.93</v>
      </c>
    </row>
    <row r="159" spans="1:8">
      <c r="A159" t="s">
        <v>108</v>
      </c>
      <c r="B159">
        <f t="shared" si="2"/>
        <v>13</v>
      </c>
      <c r="C159" t="s">
        <v>129</v>
      </c>
      <c r="F159">
        <v>7.27</v>
      </c>
      <c r="H159">
        <v>0.85</v>
      </c>
    </row>
    <row r="160" spans="1:8">
      <c r="A160" t="s">
        <v>108</v>
      </c>
      <c r="B160">
        <f t="shared" si="2"/>
        <v>13</v>
      </c>
      <c r="C160" t="s">
        <v>128</v>
      </c>
      <c r="D160">
        <v>116</v>
      </c>
      <c r="E160">
        <v>62</v>
      </c>
      <c r="H160">
        <v>0.71</v>
      </c>
    </row>
    <row r="161" spans="1:8">
      <c r="A161" t="s">
        <v>109</v>
      </c>
      <c r="B161">
        <f t="shared" si="2"/>
        <v>14</v>
      </c>
      <c r="C161" t="s">
        <v>129</v>
      </c>
      <c r="F161">
        <v>6.46</v>
      </c>
      <c r="H161">
        <v>0.65</v>
      </c>
    </row>
    <row r="162" spans="1:8">
      <c r="A162" t="s">
        <v>110</v>
      </c>
      <c r="B162">
        <f t="shared" si="2"/>
        <v>16</v>
      </c>
      <c r="C162" t="s">
        <v>128</v>
      </c>
      <c r="D162">
        <v>90</v>
      </c>
      <c r="E162">
        <v>62</v>
      </c>
      <c r="H162">
        <v>0.28999999999999998</v>
      </c>
    </row>
    <row r="163" spans="1:8">
      <c r="A163" t="s">
        <v>111</v>
      </c>
      <c r="B163">
        <f t="shared" si="2"/>
        <v>18</v>
      </c>
      <c r="C163" t="s">
        <v>129</v>
      </c>
      <c r="F163">
        <v>4.7699999999999996</v>
      </c>
      <c r="H163">
        <v>0.42</v>
      </c>
    </row>
    <row r="164" spans="1:8">
      <c r="A164" t="s">
        <v>111</v>
      </c>
      <c r="B164">
        <f t="shared" si="2"/>
        <v>18</v>
      </c>
      <c r="C164" t="s">
        <v>128</v>
      </c>
      <c r="D164">
        <v>126</v>
      </c>
      <c r="E164">
        <v>74</v>
      </c>
      <c r="H164">
        <v>0.34</v>
      </c>
    </row>
    <row r="165" spans="1:8">
      <c r="A165" t="s">
        <v>112</v>
      </c>
      <c r="B165">
        <f t="shared" si="2"/>
        <v>19</v>
      </c>
      <c r="C165" t="s">
        <v>129</v>
      </c>
      <c r="F165">
        <v>6.13</v>
      </c>
      <c r="H165">
        <v>0.54</v>
      </c>
    </row>
    <row r="166" spans="1:8">
      <c r="A166" t="s">
        <v>112</v>
      </c>
      <c r="B166">
        <f t="shared" si="2"/>
        <v>19</v>
      </c>
      <c r="C166" t="s">
        <v>128</v>
      </c>
      <c r="D166">
        <v>103</v>
      </c>
      <c r="E166">
        <v>62</v>
      </c>
      <c r="H166">
        <v>0.69</v>
      </c>
    </row>
    <row r="167" spans="1:8">
      <c r="A167" t="s">
        <v>113</v>
      </c>
      <c r="B167">
        <f t="shared" si="2"/>
        <v>20</v>
      </c>
      <c r="C167" t="s">
        <v>129</v>
      </c>
      <c r="F167">
        <v>5.72</v>
      </c>
      <c r="H167">
        <v>0.27</v>
      </c>
    </row>
    <row r="168" spans="1:8">
      <c r="A168" t="s">
        <v>114</v>
      </c>
      <c r="B168">
        <f t="shared" si="2"/>
        <v>22</v>
      </c>
      <c r="C168" t="s">
        <v>129</v>
      </c>
      <c r="F168">
        <v>4.32</v>
      </c>
      <c r="H168">
        <v>0.46</v>
      </c>
    </row>
    <row r="169" spans="1:8">
      <c r="A169" t="s">
        <v>114</v>
      </c>
      <c r="B169">
        <f t="shared" si="2"/>
        <v>22</v>
      </c>
      <c r="C169" t="s">
        <v>128</v>
      </c>
      <c r="D169">
        <v>90</v>
      </c>
      <c r="E169">
        <v>64</v>
      </c>
      <c r="H169">
        <v>0.6</v>
      </c>
    </row>
  </sheetData>
  <autoFilter ref="A1:H169" xr:uid="{00000000-0001-0000-0000-000000000000}"/>
  <sortState xmlns:xlrd2="http://schemas.microsoft.com/office/spreadsheetml/2017/richdata2" ref="A2:G161">
    <sortCondition ref="A2:A161"/>
  </sortState>
  <phoneticPr fontId="2" type="noConversion"/>
  <pageMargins left="0.75" right="0.75" top="1" bottom="1" header="0.5" footer="0.5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Shumeng</cp:lastModifiedBy>
  <dcterms:created xsi:type="dcterms:W3CDTF">2024-09-15T15:21:25Z</dcterms:created>
  <dcterms:modified xsi:type="dcterms:W3CDTF">2025-08-17T09:14:17Z</dcterms:modified>
</cp:coreProperties>
</file>